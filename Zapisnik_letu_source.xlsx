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ilip Točík\Downloads\"/>
    </mc:Choice>
  </mc:AlternateContent>
  <xr:revisionPtr revIDLastSave="0" documentId="13_ncr:1_{7BF912BA-5EF0-46E7-8CE0-5D917CBF266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ashboard" sheetId="1" r:id="rId1"/>
    <sheet name="Zápisník letů" sheetId="2" r:id="rId2"/>
    <sheet name="Souhrny" sheetId="3" r:id="rId3"/>
    <sheet name="Ceník" sheetId="4" r:id="rId4"/>
    <sheet name="Zdroje" sheetId="5" r:id="rId5"/>
    <sheet name="Seznam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" i="3" l="1"/>
  <c r="I34" i="3"/>
  <c r="H34" i="3"/>
  <c r="G34" i="3"/>
  <c r="L33" i="3"/>
  <c r="K33" i="3"/>
  <c r="I33" i="3"/>
  <c r="H33" i="3"/>
  <c r="G33" i="3"/>
  <c r="L32" i="3"/>
  <c r="I32" i="3"/>
  <c r="H32" i="3"/>
  <c r="G32" i="3"/>
  <c r="L31" i="3"/>
  <c r="I31" i="3"/>
  <c r="H31" i="3"/>
  <c r="G31" i="3"/>
  <c r="L30" i="3"/>
  <c r="K30" i="3"/>
  <c r="I30" i="3"/>
  <c r="H30" i="3"/>
  <c r="G30" i="3"/>
  <c r="L29" i="3"/>
  <c r="I29" i="3"/>
  <c r="H29" i="3"/>
  <c r="G29" i="3"/>
  <c r="L28" i="3"/>
  <c r="K28" i="3"/>
  <c r="I28" i="3"/>
  <c r="H28" i="3"/>
  <c r="G28" i="3"/>
  <c r="L27" i="3"/>
  <c r="I27" i="3"/>
  <c r="H27" i="3"/>
  <c r="G27" i="3"/>
  <c r="L26" i="3"/>
  <c r="K26" i="3"/>
  <c r="I26" i="3"/>
  <c r="H26" i="3"/>
  <c r="G26" i="3"/>
  <c r="L25" i="3"/>
  <c r="K25" i="3"/>
  <c r="I25" i="3"/>
  <c r="H25" i="3"/>
  <c r="G25" i="3"/>
  <c r="D25" i="3"/>
  <c r="C25" i="3"/>
  <c r="B25" i="3"/>
  <c r="L24" i="3"/>
  <c r="I24" i="3"/>
  <c r="H24" i="3"/>
  <c r="G24" i="3"/>
  <c r="D24" i="3"/>
  <c r="C24" i="3"/>
  <c r="B24" i="3"/>
  <c r="L23" i="3"/>
  <c r="I23" i="3"/>
  <c r="H23" i="3"/>
  <c r="G23" i="3"/>
  <c r="D23" i="3"/>
  <c r="C23" i="3"/>
  <c r="B23" i="3"/>
  <c r="L22" i="3"/>
  <c r="I22" i="3"/>
  <c r="H22" i="3"/>
  <c r="G22" i="3"/>
  <c r="B22" i="3"/>
  <c r="L21" i="3"/>
  <c r="I21" i="3"/>
  <c r="H21" i="3"/>
  <c r="G21" i="3"/>
  <c r="D21" i="3"/>
  <c r="C21" i="3"/>
  <c r="B21" i="3"/>
  <c r="L20" i="3"/>
  <c r="I20" i="3"/>
  <c r="H20" i="3"/>
  <c r="G20" i="3"/>
  <c r="B20" i="3"/>
  <c r="L19" i="3"/>
  <c r="I19" i="3"/>
  <c r="H19" i="3"/>
  <c r="G19" i="3"/>
  <c r="B19" i="3"/>
  <c r="M14" i="3"/>
  <c r="L14" i="3"/>
  <c r="K14" i="3"/>
  <c r="J14" i="3"/>
  <c r="I14" i="3"/>
  <c r="H14" i="3"/>
  <c r="G14" i="3"/>
  <c r="F14" i="3"/>
  <c r="E14" i="3"/>
  <c r="D14" i="3"/>
  <c r="C14" i="3"/>
  <c r="B14" i="3"/>
  <c r="M13" i="3"/>
  <c r="L13" i="3"/>
  <c r="K13" i="3"/>
  <c r="J13" i="3"/>
  <c r="I13" i="3"/>
  <c r="H13" i="3"/>
  <c r="G13" i="3"/>
  <c r="F13" i="3"/>
  <c r="E13" i="3"/>
  <c r="D13" i="3"/>
  <c r="C13" i="3"/>
  <c r="B13" i="3"/>
  <c r="M12" i="3"/>
  <c r="L12" i="3"/>
  <c r="K12" i="3"/>
  <c r="J12" i="3"/>
  <c r="I12" i="3"/>
  <c r="H12" i="3"/>
  <c r="G12" i="3"/>
  <c r="F12" i="3"/>
  <c r="E12" i="3"/>
  <c r="D12" i="3"/>
  <c r="C12" i="3"/>
  <c r="B12" i="3"/>
  <c r="M11" i="3"/>
  <c r="L11" i="3"/>
  <c r="K11" i="3"/>
  <c r="J11" i="3"/>
  <c r="I11" i="3"/>
  <c r="H11" i="3"/>
  <c r="G11" i="3"/>
  <c r="F11" i="3"/>
  <c r="E11" i="3"/>
  <c r="D11" i="3"/>
  <c r="C11" i="3"/>
  <c r="B11" i="3"/>
  <c r="L10" i="3"/>
  <c r="H10" i="3"/>
  <c r="G10" i="3"/>
  <c r="B10" i="3"/>
  <c r="L9" i="3"/>
  <c r="H9" i="3"/>
  <c r="B9" i="3"/>
  <c r="L8" i="3"/>
  <c r="H8" i="3"/>
  <c r="B8" i="3"/>
  <c r="L7" i="3"/>
  <c r="I7" i="3"/>
  <c r="H7" i="3"/>
  <c r="F7" i="3"/>
  <c r="B7" i="3"/>
  <c r="L6" i="3"/>
  <c r="I6" i="3"/>
  <c r="H6" i="3"/>
  <c r="B6" i="3"/>
  <c r="L5" i="3"/>
  <c r="I5" i="3"/>
  <c r="H5" i="3"/>
  <c r="B5" i="3"/>
  <c r="L4" i="3"/>
  <c r="K4" i="3"/>
  <c r="I4" i="3"/>
  <c r="H4" i="3"/>
  <c r="F4" i="3"/>
  <c r="B4" i="3"/>
  <c r="V1018" i="2"/>
  <c r="T1018" i="2"/>
  <c r="S1018" i="2"/>
  <c r="M1018" i="2"/>
  <c r="L1018" i="2"/>
  <c r="V1017" i="2"/>
  <c r="T1017" i="2"/>
  <c r="S1017" i="2"/>
  <c r="M1017" i="2"/>
  <c r="L1017" i="2"/>
  <c r="V1016" i="2"/>
  <c r="T1016" i="2"/>
  <c r="S1016" i="2"/>
  <c r="M1016" i="2"/>
  <c r="L1016" i="2"/>
  <c r="V1015" i="2"/>
  <c r="T1015" i="2"/>
  <c r="S1015" i="2"/>
  <c r="M1015" i="2"/>
  <c r="L1015" i="2"/>
  <c r="V1014" i="2"/>
  <c r="T1014" i="2"/>
  <c r="S1014" i="2"/>
  <c r="M1014" i="2"/>
  <c r="L1014" i="2"/>
  <c r="V1013" i="2"/>
  <c r="T1013" i="2"/>
  <c r="S1013" i="2"/>
  <c r="M1013" i="2"/>
  <c r="L1013" i="2"/>
  <c r="V1012" i="2"/>
  <c r="T1012" i="2"/>
  <c r="S1012" i="2"/>
  <c r="M1012" i="2"/>
  <c r="L1012" i="2"/>
  <c r="V1011" i="2"/>
  <c r="T1011" i="2"/>
  <c r="S1011" i="2"/>
  <c r="M1011" i="2"/>
  <c r="L1011" i="2"/>
  <c r="V1010" i="2"/>
  <c r="T1010" i="2"/>
  <c r="S1010" i="2"/>
  <c r="M1010" i="2"/>
  <c r="L1010" i="2"/>
  <c r="V1009" i="2"/>
  <c r="T1009" i="2"/>
  <c r="S1009" i="2"/>
  <c r="M1009" i="2"/>
  <c r="L1009" i="2"/>
  <c r="V1008" i="2"/>
  <c r="T1008" i="2"/>
  <c r="S1008" i="2"/>
  <c r="M1008" i="2"/>
  <c r="L1008" i="2"/>
  <c r="V1007" i="2"/>
  <c r="T1007" i="2"/>
  <c r="S1007" i="2"/>
  <c r="M1007" i="2"/>
  <c r="L1007" i="2"/>
  <c r="V1006" i="2"/>
  <c r="T1006" i="2"/>
  <c r="S1006" i="2"/>
  <c r="M1006" i="2"/>
  <c r="L1006" i="2"/>
  <c r="V1005" i="2"/>
  <c r="T1005" i="2"/>
  <c r="S1005" i="2"/>
  <c r="M1005" i="2"/>
  <c r="L1005" i="2"/>
  <c r="V1004" i="2"/>
  <c r="T1004" i="2"/>
  <c r="S1004" i="2"/>
  <c r="M1004" i="2"/>
  <c r="L1004" i="2"/>
  <c r="V1003" i="2"/>
  <c r="T1003" i="2"/>
  <c r="S1003" i="2"/>
  <c r="M1003" i="2"/>
  <c r="L1003" i="2"/>
  <c r="V1002" i="2"/>
  <c r="T1002" i="2"/>
  <c r="S1002" i="2"/>
  <c r="M1002" i="2"/>
  <c r="L1002" i="2"/>
  <c r="V1001" i="2"/>
  <c r="T1001" i="2"/>
  <c r="S1001" i="2"/>
  <c r="M1001" i="2"/>
  <c r="L1001" i="2"/>
  <c r="V1000" i="2"/>
  <c r="T1000" i="2"/>
  <c r="S1000" i="2"/>
  <c r="M1000" i="2"/>
  <c r="L1000" i="2"/>
  <c r="V999" i="2"/>
  <c r="T999" i="2"/>
  <c r="S999" i="2"/>
  <c r="M999" i="2"/>
  <c r="L999" i="2"/>
  <c r="V998" i="2"/>
  <c r="T998" i="2"/>
  <c r="S998" i="2"/>
  <c r="M998" i="2"/>
  <c r="L998" i="2"/>
  <c r="V997" i="2"/>
  <c r="T997" i="2"/>
  <c r="S997" i="2"/>
  <c r="M997" i="2"/>
  <c r="L997" i="2"/>
  <c r="V996" i="2"/>
  <c r="T996" i="2"/>
  <c r="S996" i="2"/>
  <c r="M996" i="2"/>
  <c r="L996" i="2"/>
  <c r="V995" i="2"/>
  <c r="T995" i="2"/>
  <c r="S995" i="2"/>
  <c r="M995" i="2"/>
  <c r="L995" i="2"/>
  <c r="V994" i="2"/>
  <c r="T994" i="2"/>
  <c r="S994" i="2"/>
  <c r="M994" i="2"/>
  <c r="L994" i="2"/>
  <c r="V993" i="2"/>
  <c r="T993" i="2"/>
  <c r="S993" i="2"/>
  <c r="M993" i="2"/>
  <c r="L993" i="2"/>
  <c r="V992" i="2"/>
  <c r="T992" i="2"/>
  <c r="S992" i="2"/>
  <c r="M992" i="2"/>
  <c r="L992" i="2"/>
  <c r="V991" i="2"/>
  <c r="T991" i="2"/>
  <c r="S991" i="2"/>
  <c r="M991" i="2"/>
  <c r="L991" i="2"/>
  <c r="V990" i="2"/>
  <c r="T990" i="2"/>
  <c r="S990" i="2"/>
  <c r="M990" i="2"/>
  <c r="L990" i="2"/>
  <c r="V989" i="2"/>
  <c r="T989" i="2"/>
  <c r="S989" i="2"/>
  <c r="M989" i="2"/>
  <c r="L989" i="2"/>
  <c r="V988" i="2"/>
  <c r="T988" i="2"/>
  <c r="S988" i="2"/>
  <c r="M988" i="2"/>
  <c r="L988" i="2"/>
  <c r="V987" i="2"/>
  <c r="T987" i="2"/>
  <c r="S987" i="2"/>
  <c r="M987" i="2"/>
  <c r="L987" i="2"/>
  <c r="V986" i="2"/>
  <c r="T986" i="2"/>
  <c r="S986" i="2"/>
  <c r="M986" i="2"/>
  <c r="L986" i="2"/>
  <c r="V985" i="2"/>
  <c r="T985" i="2"/>
  <c r="S985" i="2"/>
  <c r="M985" i="2"/>
  <c r="L985" i="2"/>
  <c r="V984" i="2"/>
  <c r="T984" i="2"/>
  <c r="S984" i="2"/>
  <c r="M984" i="2"/>
  <c r="L984" i="2"/>
  <c r="V983" i="2"/>
  <c r="T983" i="2"/>
  <c r="S983" i="2"/>
  <c r="M983" i="2"/>
  <c r="L983" i="2"/>
  <c r="V982" i="2"/>
  <c r="T982" i="2"/>
  <c r="S982" i="2"/>
  <c r="M982" i="2"/>
  <c r="L982" i="2"/>
  <c r="V981" i="2"/>
  <c r="T981" i="2"/>
  <c r="S981" i="2"/>
  <c r="M981" i="2"/>
  <c r="L981" i="2"/>
  <c r="V980" i="2"/>
  <c r="T980" i="2"/>
  <c r="S980" i="2"/>
  <c r="M980" i="2"/>
  <c r="L980" i="2"/>
  <c r="V979" i="2"/>
  <c r="T979" i="2"/>
  <c r="S979" i="2"/>
  <c r="M979" i="2"/>
  <c r="L979" i="2"/>
  <c r="V978" i="2"/>
  <c r="T978" i="2"/>
  <c r="S978" i="2"/>
  <c r="M978" i="2"/>
  <c r="L978" i="2"/>
  <c r="V977" i="2"/>
  <c r="T977" i="2"/>
  <c r="S977" i="2"/>
  <c r="M977" i="2"/>
  <c r="L977" i="2"/>
  <c r="V976" i="2"/>
  <c r="T976" i="2"/>
  <c r="S976" i="2"/>
  <c r="M976" i="2"/>
  <c r="L976" i="2"/>
  <c r="V975" i="2"/>
  <c r="T975" i="2"/>
  <c r="S975" i="2"/>
  <c r="M975" i="2"/>
  <c r="L975" i="2"/>
  <c r="V974" i="2"/>
  <c r="T974" i="2"/>
  <c r="S974" i="2"/>
  <c r="M974" i="2"/>
  <c r="L974" i="2"/>
  <c r="V973" i="2"/>
  <c r="T973" i="2"/>
  <c r="S973" i="2"/>
  <c r="M973" i="2"/>
  <c r="L973" i="2"/>
  <c r="V972" i="2"/>
  <c r="T972" i="2"/>
  <c r="S972" i="2"/>
  <c r="M972" i="2"/>
  <c r="L972" i="2"/>
  <c r="V971" i="2"/>
  <c r="T971" i="2"/>
  <c r="S971" i="2"/>
  <c r="M971" i="2"/>
  <c r="L971" i="2"/>
  <c r="V970" i="2"/>
  <c r="T970" i="2"/>
  <c r="S970" i="2"/>
  <c r="M970" i="2"/>
  <c r="L970" i="2"/>
  <c r="V969" i="2"/>
  <c r="T969" i="2"/>
  <c r="S969" i="2"/>
  <c r="M969" i="2"/>
  <c r="L969" i="2"/>
  <c r="V968" i="2"/>
  <c r="T968" i="2"/>
  <c r="S968" i="2"/>
  <c r="M968" i="2"/>
  <c r="L968" i="2"/>
  <c r="V967" i="2"/>
  <c r="T967" i="2"/>
  <c r="S967" i="2"/>
  <c r="M967" i="2"/>
  <c r="L967" i="2"/>
  <c r="V966" i="2"/>
  <c r="T966" i="2"/>
  <c r="S966" i="2"/>
  <c r="M966" i="2"/>
  <c r="L966" i="2"/>
  <c r="V965" i="2"/>
  <c r="T965" i="2"/>
  <c r="S965" i="2"/>
  <c r="M965" i="2"/>
  <c r="L965" i="2"/>
  <c r="V964" i="2"/>
  <c r="T964" i="2"/>
  <c r="S964" i="2"/>
  <c r="M964" i="2"/>
  <c r="L964" i="2"/>
  <c r="V963" i="2"/>
  <c r="T963" i="2"/>
  <c r="S963" i="2"/>
  <c r="M963" i="2"/>
  <c r="L963" i="2"/>
  <c r="V962" i="2"/>
  <c r="T962" i="2"/>
  <c r="S962" i="2"/>
  <c r="M962" i="2"/>
  <c r="L962" i="2"/>
  <c r="V961" i="2"/>
  <c r="T961" i="2"/>
  <c r="S961" i="2"/>
  <c r="M961" i="2"/>
  <c r="L961" i="2"/>
  <c r="V960" i="2"/>
  <c r="T960" i="2"/>
  <c r="S960" i="2"/>
  <c r="M960" i="2"/>
  <c r="L960" i="2"/>
  <c r="V959" i="2"/>
  <c r="T959" i="2"/>
  <c r="S959" i="2"/>
  <c r="M959" i="2"/>
  <c r="L959" i="2"/>
  <c r="V958" i="2"/>
  <c r="T958" i="2"/>
  <c r="S958" i="2"/>
  <c r="M958" i="2"/>
  <c r="L958" i="2"/>
  <c r="V957" i="2"/>
  <c r="T957" i="2"/>
  <c r="S957" i="2"/>
  <c r="M957" i="2"/>
  <c r="L957" i="2"/>
  <c r="V956" i="2"/>
  <c r="T956" i="2"/>
  <c r="S956" i="2"/>
  <c r="M956" i="2"/>
  <c r="L956" i="2"/>
  <c r="V955" i="2"/>
  <c r="T955" i="2"/>
  <c r="S955" i="2"/>
  <c r="M955" i="2"/>
  <c r="L955" i="2"/>
  <c r="V954" i="2"/>
  <c r="T954" i="2"/>
  <c r="S954" i="2"/>
  <c r="M954" i="2"/>
  <c r="L954" i="2"/>
  <c r="V953" i="2"/>
  <c r="T953" i="2"/>
  <c r="S953" i="2"/>
  <c r="M953" i="2"/>
  <c r="L953" i="2"/>
  <c r="V952" i="2"/>
  <c r="T952" i="2"/>
  <c r="S952" i="2"/>
  <c r="M952" i="2"/>
  <c r="L952" i="2"/>
  <c r="V951" i="2"/>
  <c r="T951" i="2"/>
  <c r="S951" i="2"/>
  <c r="M951" i="2"/>
  <c r="L951" i="2"/>
  <c r="V950" i="2"/>
  <c r="T950" i="2"/>
  <c r="S950" i="2"/>
  <c r="M950" i="2"/>
  <c r="L950" i="2"/>
  <c r="V949" i="2"/>
  <c r="T949" i="2"/>
  <c r="S949" i="2"/>
  <c r="M949" i="2"/>
  <c r="L949" i="2"/>
  <c r="V948" i="2"/>
  <c r="T948" i="2"/>
  <c r="S948" i="2"/>
  <c r="M948" i="2"/>
  <c r="L948" i="2"/>
  <c r="V947" i="2"/>
  <c r="T947" i="2"/>
  <c r="S947" i="2"/>
  <c r="M947" i="2"/>
  <c r="L947" i="2"/>
  <c r="V946" i="2"/>
  <c r="T946" i="2"/>
  <c r="S946" i="2"/>
  <c r="M946" i="2"/>
  <c r="L946" i="2"/>
  <c r="V945" i="2"/>
  <c r="T945" i="2"/>
  <c r="S945" i="2"/>
  <c r="M945" i="2"/>
  <c r="L945" i="2"/>
  <c r="V944" i="2"/>
  <c r="T944" i="2"/>
  <c r="S944" i="2"/>
  <c r="M944" i="2"/>
  <c r="L944" i="2"/>
  <c r="V943" i="2"/>
  <c r="T943" i="2"/>
  <c r="S943" i="2"/>
  <c r="M943" i="2"/>
  <c r="L943" i="2"/>
  <c r="V942" i="2"/>
  <c r="T942" i="2"/>
  <c r="S942" i="2"/>
  <c r="M942" i="2"/>
  <c r="L942" i="2"/>
  <c r="V941" i="2"/>
  <c r="T941" i="2"/>
  <c r="S941" i="2"/>
  <c r="M941" i="2"/>
  <c r="L941" i="2"/>
  <c r="V940" i="2"/>
  <c r="T940" i="2"/>
  <c r="S940" i="2"/>
  <c r="M940" i="2"/>
  <c r="L940" i="2"/>
  <c r="V939" i="2"/>
  <c r="T939" i="2"/>
  <c r="S939" i="2"/>
  <c r="M939" i="2"/>
  <c r="L939" i="2"/>
  <c r="V938" i="2"/>
  <c r="T938" i="2"/>
  <c r="S938" i="2"/>
  <c r="M938" i="2"/>
  <c r="L938" i="2"/>
  <c r="V937" i="2"/>
  <c r="T937" i="2"/>
  <c r="S937" i="2"/>
  <c r="M937" i="2"/>
  <c r="L937" i="2"/>
  <c r="V936" i="2"/>
  <c r="T936" i="2"/>
  <c r="S936" i="2"/>
  <c r="M936" i="2"/>
  <c r="L936" i="2"/>
  <c r="V935" i="2"/>
  <c r="T935" i="2"/>
  <c r="S935" i="2"/>
  <c r="M935" i="2"/>
  <c r="L935" i="2"/>
  <c r="V934" i="2"/>
  <c r="T934" i="2"/>
  <c r="S934" i="2"/>
  <c r="M934" i="2"/>
  <c r="L934" i="2"/>
  <c r="V933" i="2"/>
  <c r="T933" i="2"/>
  <c r="S933" i="2"/>
  <c r="M933" i="2"/>
  <c r="L933" i="2"/>
  <c r="V932" i="2"/>
  <c r="T932" i="2"/>
  <c r="S932" i="2"/>
  <c r="M932" i="2"/>
  <c r="L932" i="2"/>
  <c r="V931" i="2"/>
  <c r="T931" i="2"/>
  <c r="S931" i="2"/>
  <c r="M931" i="2"/>
  <c r="L931" i="2"/>
  <c r="V930" i="2"/>
  <c r="T930" i="2"/>
  <c r="S930" i="2"/>
  <c r="M930" i="2"/>
  <c r="L930" i="2"/>
  <c r="V929" i="2"/>
  <c r="T929" i="2"/>
  <c r="S929" i="2"/>
  <c r="M929" i="2"/>
  <c r="L929" i="2"/>
  <c r="V928" i="2"/>
  <c r="T928" i="2"/>
  <c r="S928" i="2"/>
  <c r="M928" i="2"/>
  <c r="L928" i="2"/>
  <c r="V927" i="2"/>
  <c r="T927" i="2"/>
  <c r="S927" i="2"/>
  <c r="M927" i="2"/>
  <c r="L927" i="2"/>
  <c r="V926" i="2"/>
  <c r="T926" i="2"/>
  <c r="S926" i="2"/>
  <c r="M926" i="2"/>
  <c r="L926" i="2"/>
  <c r="V925" i="2"/>
  <c r="T925" i="2"/>
  <c r="S925" i="2"/>
  <c r="M925" i="2"/>
  <c r="L925" i="2"/>
  <c r="V924" i="2"/>
  <c r="T924" i="2"/>
  <c r="S924" i="2"/>
  <c r="M924" i="2"/>
  <c r="L924" i="2"/>
  <c r="V923" i="2"/>
  <c r="T923" i="2"/>
  <c r="S923" i="2"/>
  <c r="M923" i="2"/>
  <c r="L923" i="2"/>
  <c r="V922" i="2"/>
  <c r="T922" i="2"/>
  <c r="S922" i="2"/>
  <c r="M922" i="2"/>
  <c r="L922" i="2"/>
  <c r="V921" i="2"/>
  <c r="T921" i="2"/>
  <c r="S921" i="2"/>
  <c r="M921" i="2"/>
  <c r="L921" i="2"/>
  <c r="V920" i="2"/>
  <c r="T920" i="2"/>
  <c r="S920" i="2"/>
  <c r="M920" i="2"/>
  <c r="L920" i="2"/>
  <c r="V919" i="2"/>
  <c r="T919" i="2"/>
  <c r="S919" i="2"/>
  <c r="M919" i="2"/>
  <c r="L919" i="2"/>
  <c r="V918" i="2"/>
  <c r="T918" i="2"/>
  <c r="S918" i="2"/>
  <c r="M918" i="2"/>
  <c r="L918" i="2"/>
  <c r="V917" i="2"/>
  <c r="T917" i="2"/>
  <c r="S917" i="2"/>
  <c r="M917" i="2"/>
  <c r="L917" i="2"/>
  <c r="V916" i="2"/>
  <c r="T916" i="2"/>
  <c r="S916" i="2"/>
  <c r="M916" i="2"/>
  <c r="L916" i="2"/>
  <c r="V915" i="2"/>
  <c r="T915" i="2"/>
  <c r="S915" i="2"/>
  <c r="M915" i="2"/>
  <c r="L915" i="2"/>
  <c r="V914" i="2"/>
  <c r="T914" i="2"/>
  <c r="S914" i="2"/>
  <c r="M914" i="2"/>
  <c r="L914" i="2"/>
  <c r="V913" i="2"/>
  <c r="T913" i="2"/>
  <c r="S913" i="2"/>
  <c r="M913" i="2"/>
  <c r="L913" i="2"/>
  <c r="V912" i="2"/>
  <c r="T912" i="2"/>
  <c r="S912" i="2"/>
  <c r="M912" i="2"/>
  <c r="L912" i="2"/>
  <c r="V911" i="2"/>
  <c r="T911" i="2"/>
  <c r="S911" i="2"/>
  <c r="M911" i="2"/>
  <c r="L911" i="2"/>
  <c r="V910" i="2"/>
  <c r="T910" i="2"/>
  <c r="S910" i="2"/>
  <c r="M910" i="2"/>
  <c r="L910" i="2"/>
  <c r="V909" i="2"/>
  <c r="T909" i="2"/>
  <c r="S909" i="2"/>
  <c r="M909" i="2"/>
  <c r="L909" i="2"/>
  <c r="V908" i="2"/>
  <c r="T908" i="2"/>
  <c r="S908" i="2"/>
  <c r="M908" i="2"/>
  <c r="L908" i="2"/>
  <c r="V907" i="2"/>
  <c r="T907" i="2"/>
  <c r="S907" i="2"/>
  <c r="M907" i="2"/>
  <c r="L907" i="2"/>
  <c r="V906" i="2"/>
  <c r="T906" i="2"/>
  <c r="S906" i="2"/>
  <c r="M906" i="2"/>
  <c r="L906" i="2"/>
  <c r="V905" i="2"/>
  <c r="T905" i="2"/>
  <c r="S905" i="2"/>
  <c r="M905" i="2"/>
  <c r="L905" i="2"/>
  <c r="V904" i="2"/>
  <c r="T904" i="2"/>
  <c r="S904" i="2"/>
  <c r="M904" i="2"/>
  <c r="L904" i="2"/>
  <c r="V903" i="2"/>
  <c r="T903" i="2"/>
  <c r="S903" i="2"/>
  <c r="M903" i="2"/>
  <c r="L903" i="2"/>
  <c r="V902" i="2"/>
  <c r="T902" i="2"/>
  <c r="S902" i="2"/>
  <c r="M902" i="2"/>
  <c r="L902" i="2"/>
  <c r="V901" i="2"/>
  <c r="T901" i="2"/>
  <c r="S901" i="2"/>
  <c r="M901" i="2"/>
  <c r="L901" i="2"/>
  <c r="V900" i="2"/>
  <c r="T900" i="2"/>
  <c r="S900" i="2"/>
  <c r="M900" i="2"/>
  <c r="L900" i="2"/>
  <c r="V899" i="2"/>
  <c r="T899" i="2"/>
  <c r="S899" i="2"/>
  <c r="M899" i="2"/>
  <c r="L899" i="2"/>
  <c r="V898" i="2"/>
  <c r="T898" i="2"/>
  <c r="S898" i="2"/>
  <c r="M898" i="2"/>
  <c r="L898" i="2"/>
  <c r="V897" i="2"/>
  <c r="T897" i="2"/>
  <c r="S897" i="2"/>
  <c r="M897" i="2"/>
  <c r="L897" i="2"/>
  <c r="V896" i="2"/>
  <c r="T896" i="2"/>
  <c r="S896" i="2"/>
  <c r="M896" i="2"/>
  <c r="L896" i="2"/>
  <c r="V895" i="2"/>
  <c r="T895" i="2"/>
  <c r="S895" i="2"/>
  <c r="M895" i="2"/>
  <c r="L895" i="2"/>
  <c r="V894" i="2"/>
  <c r="T894" i="2"/>
  <c r="S894" i="2"/>
  <c r="M894" i="2"/>
  <c r="L894" i="2"/>
  <c r="V893" i="2"/>
  <c r="T893" i="2"/>
  <c r="S893" i="2"/>
  <c r="M893" i="2"/>
  <c r="L893" i="2"/>
  <c r="V892" i="2"/>
  <c r="T892" i="2"/>
  <c r="S892" i="2"/>
  <c r="M892" i="2"/>
  <c r="L892" i="2"/>
  <c r="V891" i="2"/>
  <c r="T891" i="2"/>
  <c r="S891" i="2"/>
  <c r="M891" i="2"/>
  <c r="L891" i="2"/>
  <c r="V890" i="2"/>
  <c r="T890" i="2"/>
  <c r="S890" i="2"/>
  <c r="M890" i="2"/>
  <c r="L890" i="2"/>
  <c r="V889" i="2"/>
  <c r="T889" i="2"/>
  <c r="S889" i="2"/>
  <c r="M889" i="2"/>
  <c r="L889" i="2"/>
  <c r="V888" i="2"/>
  <c r="T888" i="2"/>
  <c r="S888" i="2"/>
  <c r="M888" i="2"/>
  <c r="L888" i="2"/>
  <c r="V887" i="2"/>
  <c r="T887" i="2"/>
  <c r="S887" i="2"/>
  <c r="M887" i="2"/>
  <c r="L887" i="2"/>
  <c r="V886" i="2"/>
  <c r="T886" i="2"/>
  <c r="S886" i="2"/>
  <c r="M886" i="2"/>
  <c r="L886" i="2"/>
  <c r="V885" i="2"/>
  <c r="T885" i="2"/>
  <c r="S885" i="2"/>
  <c r="M885" i="2"/>
  <c r="L885" i="2"/>
  <c r="V884" i="2"/>
  <c r="T884" i="2"/>
  <c r="S884" i="2"/>
  <c r="M884" i="2"/>
  <c r="L884" i="2"/>
  <c r="V883" i="2"/>
  <c r="T883" i="2"/>
  <c r="S883" i="2"/>
  <c r="M883" i="2"/>
  <c r="L883" i="2"/>
  <c r="V882" i="2"/>
  <c r="T882" i="2"/>
  <c r="S882" i="2"/>
  <c r="M882" i="2"/>
  <c r="L882" i="2"/>
  <c r="V881" i="2"/>
  <c r="T881" i="2"/>
  <c r="S881" i="2"/>
  <c r="M881" i="2"/>
  <c r="L881" i="2"/>
  <c r="V880" i="2"/>
  <c r="T880" i="2"/>
  <c r="S880" i="2"/>
  <c r="M880" i="2"/>
  <c r="L880" i="2"/>
  <c r="V879" i="2"/>
  <c r="T879" i="2"/>
  <c r="S879" i="2"/>
  <c r="M879" i="2"/>
  <c r="L879" i="2"/>
  <c r="V878" i="2"/>
  <c r="T878" i="2"/>
  <c r="S878" i="2"/>
  <c r="M878" i="2"/>
  <c r="L878" i="2"/>
  <c r="V877" i="2"/>
  <c r="T877" i="2"/>
  <c r="S877" i="2"/>
  <c r="M877" i="2"/>
  <c r="L877" i="2"/>
  <c r="V876" i="2"/>
  <c r="T876" i="2"/>
  <c r="S876" i="2"/>
  <c r="M876" i="2"/>
  <c r="L876" i="2"/>
  <c r="V875" i="2"/>
  <c r="T875" i="2"/>
  <c r="S875" i="2"/>
  <c r="M875" i="2"/>
  <c r="L875" i="2"/>
  <c r="V874" i="2"/>
  <c r="T874" i="2"/>
  <c r="S874" i="2"/>
  <c r="M874" i="2"/>
  <c r="L874" i="2"/>
  <c r="V873" i="2"/>
  <c r="T873" i="2"/>
  <c r="S873" i="2"/>
  <c r="M873" i="2"/>
  <c r="L873" i="2"/>
  <c r="V872" i="2"/>
  <c r="T872" i="2"/>
  <c r="S872" i="2"/>
  <c r="M872" i="2"/>
  <c r="L872" i="2"/>
  <c r="V871" i="2"/>
  <c r="T871" i="2"/>
  <c r="S871" i="2"/>
  <c r="M871" i="2"/>
  <c r="L871" i="2"/>
  <c r="V870" i="2"/>
  <c r="T870" i="2"/>
  <c r="S870" i="2"/>
  <c r="M870" i="2"/>
  <c r="L870" i="2"/>
  <c r="V869" i="2"/>
  <c r="T869" i="2"/>
  <c r="S869" i="2"/>
  <c r="M869" i="2"/>
  <c r="L869" i="2"/>
  <c r="V868" i="2"/>
  <c r="T868" i="2"/>
  <c r="S868" i="2"/>
  <c r="M868" i="2"/>
  <c r="L868" i="2"/>
  <c r="V867" i="2"/>
  <c r="T867" i="2"/>
  <c r="S867" i="2"/>
  <c r="M867" i="2"/>
  <c r="L867" i="2"/>
  <c r="V866" i="2"/>
  <c r="T866" i="2"/>
  <c r="S866" i="2"/>
  <c r="M866" i="2"/>
  <c r="L866" i="2"/>
  <c r="V865" i="2"/>
  <c r="T865" i="2"/>
  <c r="S865" i="2"/>
  <c r="M865" i="2"/>
  <c r="L865" i="2"/>
  <c r="V864" i="2"/>
  <c r="T864" i="2"/>
  <c r="S864" i="2"/>
  <c r="M864" i="2"/>
  <c r="L864" i="2"/>
  <c r="V863" i="2"/>
  <c r="T863" i="2"/>
  <c r="S863" i="2"/>
  <c r="M863" i="2"/>
  <c r="L863" i="2"/>
  <c r="V862" i="2"/>
  <c r="T862" i="2"/>
  <c r="S862" i="2"/>
  <c r="M862" i="2"/>
  <c r="L862" i="2"/>
  <c r="V861" i="2"/>
  <c r="T861" i="2"/>
  <c r="S861" i="2"/>
  <c r="M861" i="2"/>
  <c r="L861" i="2"/>
  <c r="V860" i="2"/>
  <c r="T860" i="2"/>
  <c r="S860" i="2"/>
  <c r="M860" i="2"/>
  <c r="L860" i="2"/>
  <c r="V859" i="2"/>
  <c r="T859" i="2"/>
  <c r="S859" i="2"/>
  <c r="M859" i="2"/>
  <c r="L859" i="2"/>
  <c r="V858" i="2"/>
  <c r="T858" i="2"/>
  <c r="S858" i="2"/>
  <c r="M858" i="2"/>
  <c r="L858" i="2"/>
  <c r="V857" i="2"/>
  <c r="T857" i="2"/>
  <c r="S857" i="2"/>
  <c r="M857" i="2"/>
  <c r="L857" i="2"/>
  <c r="V856" i="2"/>
  <c r="T856" i="2"/>
  <c r="S856" i="2"/>
  <c r="M856" i="2"/>
  <c r="L856" i="2"/>
  <c r="V855" i="2"/>
  <c r="T855" i="2"/>
  <c r="S855" i="2"/>
  <c r="M855" i="2"/>
  <c r="L855" i="2"/>
  <c r="V854" i="2"/>
  <c r="T854" i="2"/>
  <c r="S854" i="2"/>
  <c r="M854" i="2"/>
  <c r="L854" i="2"/>
  <c r="V853" i="2"/>
  <c r="T853" i="2"/>
  <c r="S853" i="2"/>
  <c r="M853" i="2"/>
  <c r="L853" i="2"/>
  <c r="V852" i="2"/>
  <c r="T852" i="2"/>
  <c r="S852" i="2"/>
  <c r="M852" i="2"/>
  <c r="L852" i="2"/>
  <c r="V851" i="2"/>
  <c r="T851" i="2"/>
  <c r="S851" i="2"/>
  <c r="M851" i="2"/>
  <c r="L851" i="2"/>
  <c r="V850" i="2"/>
  <c r="T850" i="2"/>
  <c r="S850" i="2"/>
  <c r="M850" i="2"/>
  <c r="L850" i="2"/>
  <c r="V849" i="2"/>
  <c r="T849" i="2"/>
  <c r="S849" i="2"/>
  <c r="M849" i="2"/>
  <c r="L849" i="2"/>
  <c r="V848" i="2"/>
  <c r="T848" i="2"/>
  <c r="S848" i="2"/>
  <c r="M848" i="2"/>
  <c r="L848" i="2"/>
  <c r="V847" i="2"/>
  <c r="T847" i="2"/>
  <c r="S847" i="2"/>
  <c r="M847" i="2"/>
  <c r="L847" i="2"/>
  <c r="V846" i="2"/>
  <c r="T846" i="2"/>
  <c r="S846" i="2"/>
  <c r="M846" i="2"/>
  <c r="L846" i="2"/>
  <c r="V845" i="2"/>
  <c r="T845" i="2"/>
  <c r="S845" i="2"/>
  <c r="M845" i="2"/>
  <c r="L845" i="2"/>
  <c r="V844" i="2"/>
  <c r="T844" i="2"/>
  <c r="S844" i="2"/>
  <c r="M844" i="2"/>
  <c r="L844" i="2"/>
  <c r="V843" i="2"/>
  <c r="T843" i="2"/>
  <c r="S843" i="2"/>
  <c r="M843" i="2"/>
  <c r="L843" i="2"/>
  <c r="V842" i="2"/>
  <c r="T842" i="2"/>
  <c r="S842" i="2"/>
  <c r="M842" i="2"/>
  <c r="L842" i="2"/>
  <c r="V841" i="2"/>
  <c r="T841" i="2"/>
  <c r="S841" i="2"/>
  <c r="M841" i="2"/>
  <c r="L841" i="2"/>
  <c r="V840" i="2"/>
  <c r="T840" i="2"/>
  <c r="S840" i="2"/>
  <c r="M840" i="2"/>
  <c r="L840" i="2"/>
  <c r="V839" i="2"/>
  <c r="T839" i="2"/>
  <c r="S839" i="2"/>
  <c r="M839" i="2"/>
  <c r="L839" i="2"/>
  <c r="V838" i="2"/>
  <c r="T838" i="2"/>
  <c r="S838" i="2"/>
  <c r="M838" i="2"/>
  <c r="L838" i="2"/>
  <c r="V837" i="2"/>
  <c r="T837" i="2"/>
  <c r="S837" i="2"/>
  <c r="M837" i="2"/>
  <c r="L837" i="2"/>
  <c r="V836" i="2"/>
  <c r="T836" i="2"/>
  <c r="S836" i="2"/>
  <c r="M836" i="2"/>
  <c r="L836" i="2"/>
  <c r="V835" i="2"/>
  <c r="T835" i="2"/>
  <c r="S835" i="2"/>
  <c r="M835" i="2"/>
  <c r="L835" i="2"/>
  <c r="V834" i="2"/>
  <c r="T834" i="2"/>
  <c r="S834" i="2"/>
  <c r="M834" i="2"/>
  <c r="L834" i="2"/>
  <c r="V833" i="2"/>
  <c r="T833" i="2"/>
  <c r="S833" i="2"/>
  <c r="M833" i="2"/>
  <c r="L833" i="2"/>
  <c r="V832" i="2"/>
  <c r="T832" i="2"/>
  <c r="S832" i="2"/>
  <c r="M832" i="2"/>
  <c r="L832" i="2"/>
  <c r="V831" i="2"/>
  <c r="T831" i="2"/>
  <c r="S831" i="2"/>
  <c r="M831" i="2"/>
  <c r="L831" i="2"/>
  <c r="V830" i="2"/>
  <c r="T830" i="2"/>
  <c r="S830" i="2"/>
  <c r="M830" i="2"/>
  <c r="L830" i="2"/>
  <c r="V829" i="2"/>
  <c r="T829" i="2"/>
  <c r="S829" i="2"/>
  <c r="M829" i="2"/>
  <c r="L829" i="2"/>
  <c r="V828" i="2"/>
  <c r="T828" i="2"/>
  <c r="S828" i="2"/>
  <c r="M828" i="2"/>
  <c r="L828" i="2"/>
  <c r="V827" i="2"/>
  <c r="T827" i="2"/>
  <c r="S827" i="2"/>
  <c r="M827" i="2"/>
  <c r="L827" i="2"/>
  <c r="V826" i="2"/>
  <c r="T826" i="2"/>
  <c r="S826" i="2"/>
  <c r="M826" i="2"/>
  <c r="L826" i="2"/>
  <c r="V825" i="2"/>
  <c r="T825" i="2"/>
  <c r="S825" i="2"/>
  <c r="M825" i="2"/>
  <c r="L825" i="2"/>
  <c r="V824" i="2"/>
  <c r="T824" i="2"/>
  <c r="S824" i="2"/>
  <c r="M824" i="2"/>
  <c r="L824" i="2"/>
  <c r="V823" i="2"/>
  <c r="T823" i="2"/>
  <c r="S823" i="2"/>
  <c r="M823" i="2"/>
  <c r="L823" i="2"/>
  <c r="V822" i="2"/>
  <c r="T822" i="2"/>
  <c r="S822" i="2"/>
  <c r="M822" i="2"/>
  <c r="L822" i="2"/>
  <c r="V821" i="2"/>
  <c r="T821" i="2"/>
  <c r="S821" i="2"/>
  <c r="M821" i="2"/>
  <c r="L821" i="2"/>
  <c r="V820" i="2"/>
  <c r="T820" i="2"/>
  <c r="S820" i="2"/>
  <c r="M820" i="2"/>
  <c r="L820" i="2"/>
  <c r="V819" i="2"/>
  <c r="T819" i="2"/>
  <c r="S819" i="2"/>
  <c r="M819" i="2"/>
  <c r="L819" i="2"/>
  <c r="V818" i="2"/>
  <c r="T818" i="2"/>
  <c r="S818" i="2"/>
  <c r="M818" i="2"/>
  <c r="L818" i="2"/>
  <c r="V817" i="2"/>
  <c r="T817" i="2"/>
  <c r="S817" i="2"/>
  <c r="M817" i="2"/>
  <c r="L817" i="2"/>
  <c r="V816" i="2"/>
  <c r="T816" i="2"/>
  <c r="S816" i="2"/>
  <c r="M816" i="2"/>
  <c r="L816" i="2"/>
  <c r="V815" i="2"/>
  <c r="T815" i="2"/>
  <c r="S815" i="2"/>
  <c r="M815" i="2"/>
  <c r="L815" i="2"/>
  <c r="V814" i="2"/>
  <c r="T814" i="2"/>
  <c r="S814" i="2"/>
  <c r="M814" i="2"/>
  <c r="L814" i="2"/>
  <c r="V813" i="2"/>
  <c r="T813" i="2"/>
  <c r="S813" i="2"/>
  <c r="M813" i="2"/>
  <c r="L813" i="2"/>
  <c r="V812" i="2"/>
  <c r="T812" i="2"/>
  <c r="S812" i="2"/>
  <c r="M812" i="2"/>
  <c r="L812" i="2"/>
  <c r="V811" i="2"/>
  <c r="T811" i="2"/>
  <c r="S811" i="2"/>
  <c r="M811" i="2"/>
  <c r="L811" i="2"/>
  <c r="V810" i="2"/>
  <c r="T810" i="2"/>
  <c r="S810" i="2"/>
  <c r="M810" i="2"/>
  <c r="L810" i="2"/>
  <c r="V809" i="2"/>
  <c r="T809" i="2"/>
  <c r="S809" i="2"/>
  <c r="M809" i="2"/>
  <c r="L809" i="2"/>
  <c r="V808" i="2"/>
  <c r="T808" i="2"/>
  <c r="S808" i="2"/>
  <c r="M808" i="2"/>
  <c r="L808" i="2"/>
  <c r="V807" i="2"/>
  <c r="T807" i="2"/>
  <c r="S807" i="2"/>
  <c r="M807" i="2"/>
  <c r="L807" i="2"/>
  <c r="V806" i="2"/>
  <c r="T806" i="2"/>
  <c r="S806" i="2"/>
  <c r="M806" i="2"/>
  <c r="L806" i="2"/>
  <c r="V805" i="2"/>
  <c r="T805" i="2"/>
  <c r="S805" i="2"/>
  <c r="M805" i="2"/>
  <c r="L805" i="2"/>
  <c r="V804" i="2"/>
  <c r="T804" i="2"/>
  <c r="S804" i="2"/>
  <c r="M804" i="2"/>
  <c r="L804" i="2"/>
  <c r="V803" i="2"/>
  <c r="T803" i="2"/>
  <c r="S803" i="2"/>
  <c r="M803" i="2"/>
  <c r="L803" i="2"/>
  <c r="V802" i="2"/>
  <c r="T802" i="2"/>
  <c r="S802" i="2"/>
  <c r="M802" i="2"/>
  <c r="L802" i="2"/>
  <c r="V801" i="2"/>
  <c r="T801" i="2"/>
  <c r="S801" i="2"/>
  <c r="M801" i="2"/>
  <c r="L801" i="2"/>
  <c r="V800" i="2"/>
  <c r="T800" i="2"/>
  <c r="S800" i="2"/>
  <c r="M800" i="2"/>
  <c r="L800" i="2"/>
  <c r="V799" i="2"/>
  <c r="T799" i="2"/>
  <c r="S799" i="2"/>
  <c r="M799" i="2"/>
  <c r="L799" i="2"/>
  <c r="V798" i="2"/>
  <c r="T798" i="2"/>
  <c r="S798" i="2"/>
  <c r="M798" i="2"/>
  <c r="L798" i="2"/>
  <c r="V797" i="2"/>
  <c r="T797" i="2"/>
  <c r="S797" i="2"/>
  <c r="M797" i="2"/>
  <c r="L797" i="2"/>
  <c r="V796" i="2"/>
  <c r="T796" i="2"/>
  <c r="S796" i="2"/>
  <c r="M796" i="2"/>
  <c r="L796" i="2"/>
  <c r="V795" i="2"/>
  <c r="T795" i="2"/>
  <c r="S795" i="2"/>
  <c r="M795" i="2"/>
  <c r="L795" i="2"/>
  <c r="V794" i="2"/>
  <c r="T794" i="2"/>
  <c r="S794" i="2"/>
  <c r="M794" i="2"/>
  <c r="L794" i="2"/>
  <c r="V793" i="2"/>
  <c r="T793" i="2"/>
  <c r="S793" i="2"/>
  <c r="M793" i="2"/>
  <c r="L793" i="2"/>
  <c r="V792" i="2"/>
  <c r="T792" i="2"/>
  <c r="S792" i="2"/>
  <c r="M792" i="2"/>
  <c r="L792" i="2"/>
  <c r="V791" i="2"/>
  <c r="T791" i="2"/>
  <c r="S791" i="2"/>
  <c r="M791" i="2"/>
  <c r="L791" i="2"/>
  <c r="V790" i="2"/>
  <c r="T790" i="2"/>
  <c r="S790" i="2"/>
  <c r="M790" i="2"/>
  <c r="L790" i="2"/>
  <c r="V789" i="2"/>
  <c r="T789" i="2"/>
  <c r="S789" i="2"/>
  <c r="M789" i="2"/>
  <c r="L789" i="2"/>
  <c r="V788" i="2"/>
  <c r="T788" i="2"/>
  <c r="S788" i="2"/>
  <c r="M788" i="2"/>
  <c r="L788" i="2"/>
  <c r="V787" i="2"/>
  <c r="T787" i="2"/>
  <c r="S787" i="2"/>
  <c r="M787" i="2"/>
  <c r="L787" i="2"/>
  <c r="V786" i="2"/>
  <c r="T786" i="2"/>
  <c r="S786" i="2"/>
  <c r="M786" i="2"/>
  <c r="L786" i="2"/>
  <c r="V785" i="2"/>
  <c r="T785" i="2"/>
  <c r="S785" i="2"/>
  <c r="M785" i="2"/>
  <c r="L785" i="2"/>
  <c r="V784" i="2"/>
  <c r="T784" i="2"/>
  <c r="S784" i="2"/>
  <c r="M784" i="2"/>
  <c r="L784" i="2"/>
  <c r="V783" i="2"/>
  <c r="T783" i="2"/>
  <c r="S783" i="2"/>
  <c r="M783" i="2"/>
  <c r="L783" i="2"/>
  <c r="V782" i="2"/>
  <c r="T782" i="2"/>
  <c r="S782" i="2"/>
  <c r="M782" i="2"/>
  <c r="L782" i="2"/>
  <c r="V781" i="2"/>
  <c r="T781" i="2"/>
  <c r="S781" i="2"/>
  <c r="M781" i="2"/>
  <c r="L781" i="2"/>
  <c r="V780" i="2"/>
  <c r="T780" i="2"/>
  <c r="S780" i="2"/>
  <c r="M780" i="2"/>
  <c r="L780" i="2"/>
  <c r="V779" i="2"/>
  <c r="T779" i="2"/>
  <c r="S779" i="2"/>
  <c r="M779" i="2"/>
  <c r="L779" i="2"/>
  <c r="V778" i="2"/>
  <c r="T778" i="2"/>
  <c r="S778" i="2"/>
  <c r="M778" i="2"/>
  <c r="L778" i="2"/>
  <c r="V777" i="2"/>
  <c r="T777" i="2"/>
  <c r="S777" i="2"/>
  <c r="M777" i="2"/>
  <c r="L777" i="2"/>
  <c r="V776" i="2"/>
  <c r="T776" i="2"/>
  <c r="S776" i="2"/>
  <c r="M776" i="2"/>
  <c r="L776" i="2"/>
  <c r="V775" i="2"/>
  <c r="T775" i="2"/>
  <c r="S775" i="2"/>
  <c r="M775" i="2"/>
  <c r="L775" i="2"/>
  <c r="V774" i="2"/>
  <c r="T774" i="2"/>
  <c r="S774" i="2"/>
  <c r="M774" i="2"/>
  <c r="L774" i="2"/>
  <c r="V773" i="2"/>
  <c r="T773" i="2"/>
  <c r="S773" i="2"/>
  <c r="M773" i="2"/>
  <c r="L773" i="2"/>
  <c r="V772" i="2"/>
  <c r="T772" i="2"/>
  <c r="S772" i="2"/>
  <c r="M772" i="2"/>
  <c r="L772" i="2"/>
  <c r="V771" i="2"/>
  <c r="T771" i="2"/>
  <c r="S771" i="2"/>
  <c r="M771" i="2"/>
  <c r="L771" i="2"/>
  <c r="V770" i="2"/>
  <c r="T770" i="2"/>
  <c r="S770" i="2"/>
  <c r="M770" i="2"/>
  <c r="L770" i="2"/>
  <c r="V769" i="2"/>
  <c r="T769" i="2"/>
  <c r="S769" i="2"/>
  <c r="M769" i="2"/>
  <c r="L769" i="2"/>
  <c r="V768" i="2"/>
  <c r="T768" i="2"/>
  <c r="S768" i="2"/>
  <c r="M768" i="2"/>
  <c r="L768" i="2"/>
  <c r="V767" i="2"/>
  <c r="T767" i="2"/>
  <c r="S767" i="2"/>
  <c r="M767" i="2"/>
  <c r="L767" i="2"/>
  <c r="V766" i="2"/>
  <c r="T766" i="2"/>
  <c r="S766" i="2"/>
  <c r="M766" i="2"/>
  <c r="L766" i="2"/>
  <c r="V765" i="2"/>
  <c r="T765" i="2"/>
  <c r="S765" i="2"/>
  <c r="M765" i="2"/>
  <c r="L765" i="2"/>
  <c r="V764" i="2"/>
  <c r="T764" i="2"/>
  <c r="S764" i="2"/>
  <c r="M764" i="2"/>
  <c r="L764" i="2"/>
  <c r="V763" i="2"/>
  <c r="T763" i="2"/>
  <c r="S763" i="2"/>
  <c r="M763" i="2"/>
  <c r="L763" i="2"/>
  <c r="V762" i="2"/>
  <c r="T762" i="2"/>
  <c r="S762" i="2"/>
  <c r="M762" i="2"/>
  <c r="L762" i="2"/>
  <c r="V761" i="2"/>
  <c r="T761" i="2"/>
  <c r="S761" i="2"/>
  <c r="M761" i="2"/>
  <c r="L761" i="2"/>
  <c r="V760" i="2"/>
  <c r="T760" i="2"/>
  <c r="S760" i="2"/>
  <c r="M760" i="2"/>
  <c r="L760" i="2"/>
  <c r="V759" i="2"/>
  <c r="T759" i="2"/>
  <c r="S759" i="2"/>
  <c r="M759" i="2"/>
  <c r="L759" i="2"/>
  <c r="V758" i="2"/>
  <c r="T758" i="2"/>
  <c r="S758" i="2"/>
  <c r="M758" i="2"/>
  <c r="L758" i="2"/>
  <c r="V757" i="2"/>
  <c r="T757" i="2"/>
  <c r="S757" i="2"/>
  <c r="M757" i="2"/>
  <c r="L757" i="2"/>
  <c r="V756" i="2"/>
  <c r="T756" i="2"/>
  <c r="S756" i="2"/>
  <c r="M756" i="2"/>
  <c r="L756" i="2"/>
  <c r="V755" i="2"/>
  <c r="T755" i="2"/>
  <c r="S755" i="2"/>
  <c r="M755" i="2"/>
  <c r="L755" i="2"/>
  <c r="V754" i="2"/>
  <c r="T754" i="2"/>
  <c r="S754" i="2"/>
  <c r="M754" i="2"/>
  <c r="L754" i="2"/>
  <c r="V753" i="2"/>
  <c r="T753" i="2"/>
  <c r="S753" i="2"/>
  <c r="M753" i="2"/>
  <c r="L753" i="2"/>
  <c r="V752" i="2"/>
  <c r="T752" i="2"/>
  <c r="S752" i="2"/>
  <c r="M752" i="2"/>
  <c r="L752" i="2"/>
  <c r="V751" i="2"/>
  <c r="T751" i="2"/>
  <c r="S751" i="2"/>
  <c r="M751" i="2"/>
  <c r="L751" i="2"/>
  <c r="V750" i="2"/>
  <c r="T750" i="2"/>
  <c r="S750" i="2"/>
  <c r="M750" i="2"/>
  <c r="L750" i="2"/>
  <c r="V749" i="2"/>
  <c r="T749" i="2"/>
  <c r="S749" i="2"/>
  <c r="M749" i="2"/>
  <c r="L749" i="2"/>
  <c r="V748" i="2"/>
  <c r="T748" i="2"/>
  <c r="S748" i="2"/>
  <c r="M748" i="2"/>
  <c r="L748" i="2"/>
  <c r="V747" i="2"/>
  <c r="T747" i="2"/>
  <c r="S747" i="2"/>
  <c r="M747" i="2"/>
  <c r="L747" i="2"/>
  <c r="V746" i="2"/>
  <c r="T746" i="2"/>
  <c r="S746" i="2"/>
  <c r="M746" i="2"/>
  <c r="L746" i="2"/>
  <c r="V745" i="2"/>
  <c r="T745" i="2"/>
  <c r="S745" i="2"/>
  <c r="M745" i="2"/>
  <c r="L745" i="2"/>
  <c r="V744" i="2"/>
  <c r="T744" i="2"/>
  <c r="S744" i="2"/>
  <c r="M744" i="2"/>
  <c r="L744" i="2"/>
  <c r="V743" i="2"/>
  <c r="T743" i="2"/>
  <c r="S743" i="2"/>
  <c r="M743" i="2"/>
  <c r="L743" i="2"/>
  <c r="V742" i="2"/>
  <c r="T742" i="2"/>
  <c r="S742" i="2"/>
  <c r="M742" i="2"/>
  <c r="L742" i="2"/>
  <c r="V741" i="2"/>
  <c r="T741" i="2"/>
  <c r="S741" i="2"/>
  <c r="M741" i="2"/>
  <c r="L741" i="2"/>
  <c r="V740" i="2"/>
  <c r="T740" i="2"/>
  <c r="S740" i="2"/>
  <c r="M740" i="2"/>
  <c r="L740" i="2"/>
  <c r="V739" i="2"/>
  <c r="T739" i="2"/>
  <c r="S739" i="2"/>
  <c r="M739" i="2"/>
  <c r="L739" i="2"/>
  <c r="V738" i="2"/>
  <c r="T738" i="2"/>
  <c r="S738" i="2"/>
  <c r="M738" i="2"/>
  <c r="L738" i="2"/>
  <c r="V737" i="2"/>
  <c r="T737" i="2"/>
  <c r="S737" i="2"/>
  <c r="M737" i="2"/>
  <c r="L737" i="2"/>
  <c r="V736" i="2"/>
  <c r="T736" i="2"/>
  <c r="S736" i="2"/>
  <c r="M736" i="2"/>
  <c r="L736" i="2"/>
  <c r="V735" i="2"/>
  <c r="T735" i="2"/>
  <c r="S735" i="2"/>
  <c r="M735" i="2"/>
  <c r="L735" i="2"/>
  <c r="V734" i="2"/>
  <c r="T734" i="2"/>
  <c r="S734" i="2"/>
  <c r="M734" i="2"/>
  <c r="L734" i="2"/>
  <c r="V733" i="2"/>
  <c r="T733" i="2"/>
  <c r="S733" i="2"/>
  <c r="M733" i="2"/>
  <c r="L733" i="2"/>
  <c r="V732" i="2"/>
  <c r="T732" i="2"/>
  <c r="S732" i="2"/>
  <c r="M732" i="2"/>
  <c r="L732" i="2"/>
  <c r="V731" i="2"/>
  <c r="T731" i="2"/>
  <c r="S731" i="2"/>
  <c r="M731" i="2"/>
  <c r="L731" i="2"/>
  <c r="V730" i="2"/>
  <c r="T730" i="2"/>
  <c r="S730" i="2"/>
  <c r="M730" i="2"/>
  <c r="L730" i="2"/>
  <c r="V729" i="2"/>
  <c r="T729" i="2"/>
  <c r="S729" i="2"/>
  <c r="M729" i="2"/>
  <c r="L729" i="2"/>
  <c r="V728" i="2"/>
  <c r="T728" i="2"/>
  <c r="S728" i="2"/>
  <c r="M728" i="2"/>
  <c r="L728" i="2"/>
  <c r="V727" i="2"/>
  <c r="T727" i="2"/>
  <c r="S727" i="2"/>
  <c r="M727" i="2"/>
  <c r="L727" i="2"/>
  <c r="V726" i="2"/>
  <c r="T726" i="2"/>
  <c r="S726" i="2"/>
  <c r="M726" i="2"/>
  <c r="L726" i="2"/>
  <c r="V725" i="2"/>
  <c r="T725" i="2"/>
  <c r="S725" i="2"/>
  <c r="M725" i="2"/>
  <c r="L725" i="2"/>
  <c r="V724" i="2"/>
  <c r="T724" i="2"/>
  <c r="S724" i="2"/>
  <c r="M724" i="2"/>
  <c r="L724" i="2"/>
  <c r="V723" i="2"/>
  <c r="T723" i="2"/>
  <c r="S723" i="2"/>
  <c r="M723" i="2"/>
  <c r="L723" i="2"/>
  <c r="V722" i="2"/>
  <c r="T722" i="2"/>
  <c r="S722" i="2"/>
  <c r="M722" i="2"/>
  <c r="L722" i="2"/>
  <c r="V721" i="2"/>
  <c r="T721" i="2"/>
  <c r="S721" i="2"/>
  <c r="M721" i="2"/>
  <c r="L721" i="2"/>
  <c r="V720" i="2"/>
  <c r="T720" i="2"/>
  <c r="S720" i="2"/>
  <c r="M720" i="2"/>
  <c r="L720" i="2"/>
  <c r="V719" i="2"/>
  <c r="T719" i="2"/>
  <c r="S719" i="2"/>
  <c r="M719" i="2"/>
  <c r="L719" i="2"/>
  <c r="V718" i="2"/>
  <c r="T718" i="2"/>
  <c r="S718" i="2"/>
  <c r="M718" i="2"/>
  <c r="L718" i="2"/>
  <c r="V717" i="2"/>
  <c r="T717" i="2"/>
  <c r="S717" i="2"/>
  <c r="M717" i="2"/>
  <c r="L717" i="2"/>
  <c r="V716" i="2"/>
  <c r="T716" i="2"/>
  <c r="S716" i="2"/>
  <c r="M716" i="2"/>
  <c r="L716" i="2"/>
  <c r="V715" i="2"/>
  <c r="T715" i="2"/>
  <c r="S715" i="2"/>
  <c r="M715" i="2"/>
  <c r="L715" i="2"/>
  <c r="V714" i="2"/>
  <c r="T714" i="2"/>
  <c r="S714" i="2"/>
  <c r="M714" i="2"/>
  <c r="L714" i="2"/>
  <c r="V713" i="2"/>
  <c r="T713" i="2"/>
  <c r="S713" i="2"/>
  <c r="M713" i="2"/>
  <c r="L713" i="2"/>
  <c r="V712" i="2"/>
  <c r="T712" i="2"/>
  <c r="S712" i="2"/>
  <c r="M712" i="2"/>
  <c r="L712" i="2"/>
  <c r="V711" i="2"/>
  <c r="T711" i="2"/>
  <c r="S711" i="2"/>
  <c r="M711" i="2"/>
  <c r="L711" i="2"/>
  <c r="V710" i="2"/>
  <c r="T710" i="2"/>
  <c r="S710" i="2"/>
  <c r="M710" i="2"/>
  <c r="L710" i="2"/>
  <c r="V709" i="2"/>
  <c r="T709" i="2"/>
  <c r="S709" i="2"/>
  <c r="M709" i="2"/>
  <c r="L709" i="2"/>
  <c r="V708" i="2"/>
  <c r="T708" i="2"/>
  <c r="S708" i="2"/>
  <c r="M708" i="2"/>
  <c r="L708" i="2"/>
  <c r="V707" i="2"/>
  <c r="T707" i="2"/>
  <c r="S707" i="2"/>
  <c r="M707" i="2"/>
  <c r="L707" i="2"/>
  <c r="V706" i="2"/>
  <c r="T706" i="2"/>
  <c r="S706" i="2"/>
  <c r="M706" i="2"/>
  <c r="L706" i="2"/>
  <c r="V705" i="2"/>
  <c r="T705" i="2"/>
  <c r="S705" i="2"/>
  <c r="M705" i="2"/>
  <c r="L705" i="2"/>
  <c r="V704" i="2"/>
  <c r="T704" i="2"/>
  <c r="S704" i="2"/>
  <c r="M704" i="2"/>
  <c r="L704" i="2"/>
  <c r="V703" i="2"/>
  <c r="T703" i="2"/>
  <c r="S703" i="2"/>
  <c r="M703" i="2"/>
  <c r="L703" i="2"/>
  <c r="V702" i="2"/>
  <c r="T702" i="2"/>
  <c r="S702" i="2"/>
  <c r="M702" i="2"/>
  <c r="L702" i="2"/>
  <c r="V701" i="2"/>
  <c r="T701" i="2"/>
  <c r="S701" i="2"/>
  <c r="M701" i="2"/>
  <c r="L701" i="2"/>
  <c r="V700" i="2"/>
  <c r="T700" i="2"/>
  <c r="S700" i="2"/>
  <c r="M700" i="2"/>
  <c r="L700" i="2"/>
  <c r="V699" i="2"/>
  <c r="T699" i="2"/>
  <c r="S699" i="2"/>
  <c r="M699" i="2"/>
  <c r="L699" i="2"/>
  <c r="V698" i="2"/>
  <c r="T698" i="2"/>
  <c r="S698" i="2"/>
  <c r="M698" i="2"/>
  <c r="L698" i="2"/>
  <c r="V697" i="2"/>
  <c r="T697" i="2"/>
  <c r="S697" i="2"/>
  <c r="M697" i="2"/>
  <c r="L697" i="2"/>
  <c r="V696" i="2"/>
  <c r="T696" i="2"/>
  <c r="S696" i="2"/>
  <c r="M696" i="2"/>
  <c r="L696" i="2"/>
  <c r="V695" i="2"/>
  <c r="T695" i="2"/>
  <c r="S695" i="2"/>
  <c r="M695" i="2"/>
  <c r="L695" i="2"/>
  <c r="V694" i="2"/>
  <c r="T694" i="2"/>
  <c r="S694" i="2"/>
  <c r="M694" i="2"/>
  <c r="L694" i="2"/>
  <c r="V693" i="2"/>
  <c r="T693" i="2"/>
  <c r="S693" i="2"/>
  <c r="M693" i="2"/>
  <c r="L693" i="2"/>
  <c r="V692" i="2"/>
  <c r="T692" i="2"/>
  <c r="S692" i="2"/>
  <c r="M692" i="2"/>
  <c r="L692" i="2"/>
  <c r="V691" i="2"/>
  <c r="T691" i="2"/>
  <c r="S691" i="2"/>
  <c r="M691" i="2"/>
  <c r="L691" i="2"/>
  <c r="V690" i="2"/>
  <c r="T690" i="2"/>
  <c r="S690" i="2"/>
  <c r="M690" i="2"/>
  <c r="L690" i="2"/>
  <c r="V689" i="2"/>
  <c r="T689" i="2"/>
  <c r="S689" i="2"/>
  <c r="M689" i="2"/>
  <c r="L689" i="2"/>
  <c r="V688" i="2"/>
  <c r="T688" i="2"/>
  <c r="S688" i="2"/>
  <c r="M688" i="2"/>
  <c r="L688" i="2"/>
  <c r="V687" i="2"/>
  <c r="T687" i="2"/>
  <c r="S687" i="2"/>
  <c r="M687" i="2"/>
  <c r="L687" i="2"/>
  <c r="V686" i="2"/>
  <c r="T686" i="2"/>
  <c r="S686" i="2"/>
  <c r="M686" i="2"/>
  <c r="L686" i="2"/>
  <c r="V685" i="2"/>
  <c r="T685" i="2"/>
  <c r="S685" i="2"/>
  <c r="M685" i="2"/>
  <c r="L685" i="2"/>
  <c r="V684" i="2"/>
  <c r="T684" i="2"/>
  <c r="S684" i="2"/>
  <c r="M684" i="2"/>
  <c r="L684" i="2"/>
  <c r="V683" i="2"/>
  <c r="T683" i="2"/>
  <c r="S683" i="2"/>
  <c r="M683" i="2"/>
  <c r="L683" i="2"/>
  <c r="V682" i="2"/>
  <c r="T682" i="2"/>
  <c r="S682" i="2"/>
  <c r="M682" i="2"/>
  <c r="L682" i="2"/>
  <c r="V681" i="2"/>
  <c r="T681" i="2"/>
  <c r="S681" i="2"/>
  <c r="M681" i="2"/>
  <c r="L681" i="2"/>
  <c r="V680" i="2"/>
  <c r="T680" i="2"/>
  <c r="S680" i="2"/>
  <c r="M680" i="2"/>
  <c r="L680" i="2"/>
  <c r="V679" i="2"/>
  <c r="T679" i="2"/>
  <c r="S679" i="2"/>
  <c r="M679" i="2"/>
  <c r="L679" i="2"/>
  <c r="V678" i="2"/>
  <c r="T678" i="2"/>
  <c r="S678" i="2"/>
  <c r="M678" i="2"/>
  <c r="L678" i="2"/>
  <c r="V677" i="2"/>
  <c r="T677" i="2"/>
  <c r="S677" i="2"/>
  <c r="M677" i="2"/>
  <c r="L677" i="2"/>
  <c r="V676" i="2"/>
  <c r="T676" i="2"/>
  <c r="S676" i="2"/>
  <c r="M676" i="2"/>
  <c r="L676" i="2"/>
  <c r="V675" i="2"/>
  <c r="T675" i="2"/>
  <c r="S675" i="2"/>
  <c r="M675" i="2"/>
  <c r="L675" i="2"/>
  <c r="V674" i="2"/>
  <c r="T674" i="2"/>
  <c r="S674" i="2"/>
  <c r="M674" i="2"/>
  <c r="L674" i="2"/>
  <c r="V673" i="2"/>
  <c r="T673" i="2"/>
  <c r="S673" i="2"/>
  <c r="M673" i="2"/>
  <c r="L673" i="2"/>
  <c r="V672" i="2"/>
  <c r="T672" i="2"/>
  <c r="S672" i="2"/>
  <c r="M672" i="2"/>
  <c r="L672" i="2"/>
  <c r="V671" i="2"/>
  <c r="T671" i="2"/>
  <c r="S671" i="2"/>
  <c r="M671" i="2"/>
  <c r="L671" i="2"/>
  <c r="V670" i="2"/>
  <c r="T670" i="2"/>
  <c r="S670" i="2"/>
  <c r="M670" i="2"/>
  <c r="L670" i="2"/>
  <c r="V669" i="2"/>
  <c r="T669" i="2"/>
  <c r="S669" i="2"/>
  <c r="M669" i="2"/>
  <c r="L669" i="2"/>
  <c r="V668" i="2"/>
  <c r="T668" i="2"/>
  <c r="S668" i="2"/>
  <c r="M668" i="2"/>
  <c r="L668" i="2"/>
  <c r="V667" i="2"/>
  <c r="T667" i="2"/>
  <c r="S667" i="2"/>
  <c r="M667" i="2"/>
  <c r="L667" i="2"/>
  <c r="V666" i="2"/>
  <c r="T666" i="2"/>
  <c r="S666" i="2"/>
  <c r="M666" i="2"/>
  <c r="L666" i="2"/>
  <c r="V665" i="2"/>
  <c r="T665" i="2"/>
  <c r="S665" i="2"/>
  <c r="M665" i="2"/>
  <c r="L665" i="2"/>
  <c r="V664" i="2"/>
  <c r="T664" i="2"/>
  <c r="S664" i="2"/>
  <c r="M664" i="2"/>
  <c r="L664" i="2"/>
  <c r="V663" i="2"/>
  <c r="T663" i="2"/>
  <c r="S663" i="2"/>
  <c r="M663" i="2"/>
  <c r="L663" i="2"/>
  <c r="V662" i="2"/>
  <c r="T662" i="2"/>
  <c r="S662" i="2"/>
  <c r="M662" i="2"/>
  <c r="L662" i="2"/>
  <c r="V661" i="2"/>
  <c r="T661" i="2"/>
  <c r="S661" i="2"/>
  <c r="M661" i="2"/>
  <c r="L661" i="2"/>
  <c r="V660" i="2"/>
  <c r="T660" i="2"/>
  <c r="S660" i="2"/>
  <c r="M660" i="2"/>
  <c r="L660" i="2"/>
  <c r="V659" i="2"/>
  <c r="T659" i="2"/>
  <c r="S659" i="2"/>
  <c r="M659" i="2"/>
  <c r="L659" i="2"/>
  <c r="V658" i="2"/>
  <c r="T658" i="2"/>
  <c r="S658" i="2"/>
  <c r="M658" i="2"/>
  <c r="L658" i="2"/>
  <c r="V657" i="2"/>
  <c r="T657" i="2"/>
  <c r="S657" i="2"/>
  <c r="M657" i="2"/>
  <c r="L657" i="2"/>
  <c r="V656" i="2"/>
  <c r="T656" i="2"/>
  <c r="S656" i="2"/>
  <c r="M656" i="2"/>
  <c r="L656" i="2"/>
  <c r="V655" i="2"/>
  <c r="T655" i="2"/>
  <c r="S655" i="2"/>
  <c r="M655" i="2"/>
  <c r="L655" i="2"/>
  <c r="V654" i="2"/>
  <c r="T654" i="2"/>
  <c r="S654" i="2"/>
  <c r="M654" i="2"/>
  <c r="L654" i="2"/>
  <c r="V653" i="2"/>
  <c r="T653" i="2"/>
  <c r="S653" i="2"/>
  <c r="M653" i="2"/>
  <c r="L653" i="2"/>
  <c r="V652" i="2"/>
  <c r="T652" i="2"/>
  <c r="S652" i="2"/>
  <c r="M652" i="2"/>
  <c r="L652" i="2"/>
  <c r="V651" i="2"/>
  <c r="T651" i="2"/>
  <c r="S651" i="2"/>
  <c r="M651" i="2"/>
  <c r="L651" i="2"/>
  <c r="V650" i="2"/>
  <c r="T650" i="2"/>
  <c r="S650" i="2"/>
  <c r="M650" i="2"/>
  <c r="L650" i="2"/>
  <c r="V649" i="2"/>
  <c r="T649" i="2"/>
  <c r="S649" i="2"/>
  <c r="M649" i="2"/>
  <c r="L649" i="2"/>
  <c r="V648" i="2"/>
  <c r="T648" i="2"/>
  <c r="S648" i="2"/>
  <c r="M648" i="2"/>
  <c r="L648" i="2"/>
  <c r="V647" i="2"/>
  <c r="T647" i="2"/>
  <c r="S647" i="2"/>
  <c r="M647" i="2"/>
  <c r="L647" i="2"/>
  <c r="V646" i="2"/>
  <c r="T646" i="2"/>
  <c r="S646" i="2"/>
  <c r="M646" i="2"/>
  <c r="L646" i="2"/>
  <c r="V645" i="2"/>
  <c r="T645" i="2"/>
  <c r="S645" i="2"/>
  <c r="M645" i="2"/>
  <c r="L645" i="2"/>
  <c r="V644" i="2"/>
  <c r="T644" i="2"/>
  <c r="S644" i="2"/>
  <c r="M644" i="2"/>
  <c r="L644" i="2"/>
  <c r="V643" i="2"/>
  <c r="T643" i="2"/>
  <c r="S643" i="2"/>
  <c r="M643" i="2"/>
  <c r="L643" i="2"/>
  <c r="V642" i="2"/>
  <c r="T642" i="2"/>
  <c r="S642" i="2"/>
  <c r="M642" i="2"/>
  <c r="L642" i="2"/>
  <c r="V641" i="2"/>
  <c r="T641" i="2"/>
  <c r="S641" i="2"/>
  <c r="M641" i="2"/>
  <c r="L641" i="2"/>
  <c r="V640" i="2"/>
  <c r="T640" i="2"/>
  <c r="S640" i="2"/>
  <c r="M640" i="2"/>
  <c r="L640" i="2"/>
  <c r="V639" i="2"/>
  <c r="T639" i="2"/>
  <c r="S639" i="2"/>
  <c r="M639" i="2"/>
  <c r="L639" i="2"/>
  <c r="V638" i="2"/>
  <c r="T638" i="2"/>
  <c r="S638" i="2"/>
  <c r="M638" i="2"/>
  <c r="L638" i="2"/>
  <c r="V637" i="2"/>
  <c r="T637" i="2"/>
  <c r="S637" i="2"/>
  <c r="M637" i="2"/>
  <c r="L637" i="2"/>
  <c r="V636" i="2"/>
  <c r="T636" i="2"/>
  <c r="S636" i="2"/>
  <c r="M636" i="2"/>
  <c r="L636" i="2"/>
  <c r="V635" i="2"/>
  <c r="T635" i="2"/>
  <c r="S635" i="2"/>
  <c r="M635" i="2"/>
  <c r="L635" i="2"/>
  <c r="V634" i="2"/>
  <c r="T634" i="2"/>
  <c r="S634" i="2"/>
  <c r="M634" i="2"/>
  <c r="L634" i="2"/>
  <c r="V633" i="2"/>
  <c r="T633" i="2"/>
  <c r="S633" i="2"/>
  <c r="M633" i="2"/>
  <c r="L633" i="2"/>
  <c r="V632" i="2"/>
  <c r="T632" i="2"/>
  <c r="S632" i="2"/>
  <c r="M632" i="2"/>
  <c r="L632" i="2"/>
  <c r="V631" i="2"/>
  <c r="T631" i="2"/>
  <c r="S631" i="2"/>
  <c r="M631" i="2"/>
  <c r="L631" i="2"/>
  <c r="V630" i="2"/>
  <c r="T630" i="2"/>
  <c r="S630" i="2"/>
  <c r="M630" i="2"/>
  <c r="L630" i="2"/>
  <c r="V629" i="2"/>
  <c r="T629" i="2"/>
  <c r="S629" i="2"/>
  <c r="M629" i="2"/>
  <c r="L629" i="2"/>
  <c r="V628" i="2"/>
  <c r="T628" i="2"/>
  <c r="S628" i="2"/>
  <c r="M628" i="2"/>
  <c r="L628" i="2"/>
  <c r="V627" i="2"/>
  <c r="T627" i="2"/>
  <c r="S627" i="2"/>
  <c r="M627" i="2"/>
  <c r="L627" i="2"/>
  <c r="V626" i="2"/>
  <c r="T626" i="2"/>
  <c r="S626" i="2"/>
  <c r="M626" i="2"/>
  <c r="L626" i="2"/>
  <c r="V625" i="2"/>
  <c r="T625" i="2"/>
  <c r="S625" i="2"/>
  <c r="M625" i="2"/>
  <c r="L625" i="2"/>
  <c r="V624" i="2"/>
  <c r="T624" i="2"/>
  <c r="S624" i="2"/>
  <c r="M624" i="2"/>
  <c r="L624" i="2"/>
  <c r="V623" i="2"/>
  <c r="T623" i="2"/>
  <c r="S623" i="2"/>
  <c r="M623" i="2"/>
  <c r="L623" i="2"/>
  <c r="V622" i="2"/>
  <c r="T622" i="2"/>
  <c r="S622" i="2"/>
  <c r="M622" i="2"/>
  <c r="L622" i="2"/>
  <c r="V621" i="2"/>
  <c r="T621" i="2"/>
  <c r="S621" i="2"/>
  <c r="M621" i="2"/>
  <c r="L621" i="2"/>
  <c r="V620" i="2"/>
  <c r="T620" i="2"/>
  <c r="S620" i="2"/>
  <c r="M620" i="2"/>
  <c r="L620" i="2"/>
  <c r="V619" i="2"/>
  <c r="T619" i="2"/>
  <c r="S619" i="2"/>
  <c r="M619" i="2"/>
  <c r="L619" i="2"/>
  <c r="V618" i="2"/>
  <c r="T618" i="2"/>
  <c r="S618" i="2"/>
  <c r="M618" i="2"/>
  <c r="L618" i="2"/>
  <c r="V617" i="2"/>
  <c r="T617" i="2"/>
  <c r="S617" i="2"/>
  <c r="M617" i="2"/>
  <c r="L617" i="2"/>
  <c r="V616" i="2"/>
  <c r="T616" i="2"/>
  <c r="S616" i="2"/>
  <c r="M616" i="2"/>
  <c r="L616" i="2"/>
  <c r="V615" i="2"/>
  <c r="T615" i="2"/>
  <c r="S615" i="2"/>
  <c r="M615" i="2"/>
  <c r="L615" i="2"/>
  <c r="V614" i="2"/>
  <c r="T614" i="2"/>
  <c r="S614" i="2"/>
  <c r="M614" i="2"/>
  <c r="L614" i="2"/>
  <c r="V613" i="2"/>
  <c r="T613" i="2"/>
  <c r="S613" i="2"/>
  <c r="M613" i="2"/>
  <c r="L613" i="2"/>
  <c r="V612" i="2"/>
  <c r="T612" i="2"/>
  <c r="S612" i="2"/>
  <c r="M612" i="2"/>
  <c r="L612" i="2"/>
  <c r="V611" i="2"/>
  <c r="T611" i="2"/>
  <c r="S611" i="2"/>
  <c r="M611" i="2"/>
  <c r="L611" i="2"/>
  <c r="V610" i="2"/>
  <c r="T610" i="2"/>
  <c r="S610" i="2"/>
  <c r="M610" i="2"/>
  <c r="L610" i="2"/>
  <c r="V609" i="2"/>
  <c r="T609" i="2"/>
  <c r="S609" i="2"/>
  <c r="M609" i="2"/>
  <c r="L609" i="2"/>
  <c r="V608" i="2"/>
  <c r="T608" i="2"/>
  <c r="S608" i="2"/>
  <c r="M608" i="2"/>
  <c r="L608" i="2"/>
  <c r="V607" i="2"/>
  <c r="T607" i="2"/>
  <c r="S607" i="2"/>
  <c r="M607" i="2"/>
  <c r="L607" i="2"/>
  <c r="V606" i="2"/>
  <c r="T606" i="2"/>
  <c r="S606" i="2"/>
  <c r="M606" i="2"/>
  <c r="L606" i="2"/>
  <c r="V605" i="2"/>
  <c r="T605" i="2"/>
  <c r="S605" i="2"/>
  <c r="M605" i="2"/>
  <c r="L605" i="2"/>
  <c r="V604" i="2"/>
  <c r="T604" i="2"/>
  <c r="S604" i="2"/>
  <c r="M604" i="2"/>
  <c r="L604" i="2"/>
  <c r="V603" i="2"/>
  <c r="T603" i="2"/>
  <c r="S603" i="2"/>
  <c r="M603" i="2"/>
  <c r="L603" i="2"/>
  <c r="V602" i="2"/>
  <c r="T602" i="2"/>
  <c r="S602" i="2"/>
  <c r="M602" i="2"/>
  <c r="L602" i="2"/>
  <c r="V601" i="2"/>
  <c r="T601" i="2"/>
  <c r="S601" i="2"/>
  <c r="M601" i="2"/>
  <c r="L601" i="2"/>
  <c r="V600" i="2"/>
  <c r="T600" i="2"/>
  <c r="S600" i="2"/>
  <c r="M600" i="2"/>
  <c r="L600" i="2"/>
  <c r="V599" i="2"/>
  <c r="T599" i="2"/>
  <c r="S599" i="2"/>
  <c r="M599" i="2"/>
  <c r="L599" i="2"/>
  <c r="V598" i="2"/>
  <c r="T598" i="2"/>
  <c r="S598" i="2"/>
  <c r="M598" i="2"/>
  <c r="L598" i="2"/>
  <c r="V597" i="2"/>
  <c r="T597" i="2"/>
  <c r="S597" i="2"/>
  <c r="M597" i="2"/>
  <c r="L597" i="2"/>
  <c r="V596" i="2"/>
  <c r="T596" i="2"/>
  <c r="S596" i="2"/>
  <c r="M596" i="2"/>
  <c r="L596" i="2"/>
  <c r="V595" i="2"/>
  <c r="T595" i="2"/>
  <c r="S595" i="2"/>
  <c r="M595" i="2"/>
  <c r="L595" i="2"/>
  <c r="V594" i="2"/>
  <c r="T594" i="2"/>
  <c r="S594" i="2"/>
  <c r="M594" i="2"/>
  <c r="L594" i="2"/>
  <c r="V593" i="2"/>
  <c r="T593" i="2"/>
  <c r="S593" i="2"/>
  <c r="M593" i="2"/>
  <c r="L593" i="2"/>
  <c r="V592" i="2"/>
  <c r="T592" i="2"/>
  <c r="S592" i="2"/>
  <c r="M592" i="2"/>
  <c r="L592" i="2"/>
  <c r="V591" i="2"/>
  <c r="T591" i="2"/>
  <c r="S591" i="2"/>
  <c r="M591" i="2"/>
  <c r="L591" i="2"/>
  <c r="V590" i="2"/>
  <c r="T590" i="2"/>
  <c r="S590" i="2"/>
  <c r="M590" i="2"/>
  <c r="L590" i="2"/>
  <c r="V589" i="2"/>
  <c r="T589" i="2"/>
  <c r="S589" i="2"/>
  <c r="M589" i="2"/>
  <c r="L589" i="2"/>
  <c r="V588" i="2"/>
  <c r="T588" i="2"/>
  <c r="S588" i="2"/>
  <c r="M588" i="2"/>
  <c r="L588" i="2"/>
  <c r="V587" i="2"/>
  <c r="T587" i="2"/>
  <c r="S587" i="2"/>
  <c r="M587" i="2"/>
  <c r="L587" i="2"/>
  <c r="V586" i="2"/>
  <c r="T586" i="2"/>
  <c r="S586" i="2"/>
  <c r="M586" i="2"/>
  <c r="L586" i="2"/>
  <c r="V585" i="2"/>
  <c r="T585" i="2"/>
  <c r="S585" i="2"/>
  <c r="M585" i="2"/>
  <c r="L585" i="2"/>
  <c r="V584" i="2"/>
  <c r="T584" i="2"/>
  <c r="S584" i="2"/>
  <c r="M584" i="2"/>
  <c r="L584" i="2"/>
  <c r="V583" i="2"/>
  <c r="T583" i="2"/>
  <c r="S583" i="2"/>
  <c r="M583" i="2"/>
  <c r="L583" i="2"/>
  <c r="V582" i="2"/>
  <c r="T582" i="2"/>
  <c r="S582" i="2"/>
  <c r="M582" i="2"/>
  <c r="L582" i="2"/>
  <c r="V581" i="2"/>
  <c r="T581" i="2"/>
  <c r="S581" i="2"/>
  <c r="M581" i="2"/>
  <c r="L581" i="2"/>
  <c r="V580" i="2"/>
  <c r="T580" i="2"/>
  <c r="S580" i="2"/>
  <c r="M580" i="2"/>
  <c r="L580" i="2"/>
  <c r="V579" i="2"/>
  <c r="T579" i="2"/>
  <c r="S579" i="2"/>
  <c r="M579" i="2"/>
  <c r="L579" i="2"/>
  <c r="V578" i="2"/>
  <c r="T578" i="2"/>
  <c r="S578" i="2"/>
  <c r="M578" i="2"/>
  <c r="L578" i="2"/>
  <c r="V577" i="2"/>
  <c r="T577" i="2"/>
  <c r="S577" i="2"/>
  <c r="M577" i="2"/>
  <c r="L577" i="2"/>
  <c r="V576" i="2"/>
  <c r="T576" i="2"/>
  <c r="S576" i="2"/>
  <c r="M576" i="2"/>
  <c r="L576" i="2"/>
  <c r="V575" i="2"/>
  <c r="T575" i="2"/>
  <c r="S575" i="2"/>
  <c r="M575" i="2"/>
  <c r="L575" i="2"/>
  <c r="V574" i="2"/>
  <c r="T574" i="2"/>
  <c r="S574" i="2"/>
  <c r="M574" i="2"/>
  <c r="L574" i="2"/>
  <c r="V573" i="2"/>
  <c r="T573" i="2"/>
  <c r="S573" i="2"/>
  <c r="M573" i="2"/>
  <c r="L573" i="2"/>
  <c r="V572" i="2"/>
  <c r="T572" i="2"/>
  <c r="S572" i="2"/>
  <c r="M572" i="2"/>
  <c r="L572" i="2"/>
  <c r="V571" i="2"/>
  <c r="T571" i="2"/>
  <c r="S571" i="2"/>
  <c r="M571" i="2"/>
  <c r="L571" i="2"/>
  <c r="V570" i="2"/>
  <c r="T570" i="2"/>
  <c r="S570" i="2"/>
  <c r="M570" i="2"/>
  <c r="L570" i="2"/>
  <c r="V569" i="2"/>
  <c r="T569" i="2"/>
  <c r="S569" i="2"/>
  <c r="M569" i="2"/>
  <c r="L569" i="2"/>
  <c r="V568" i="2"/>
  <c r="T568" i="2"/>
  <c r="S568" i="2"/>
  <c r="M568" i="2"/>
  <c r="L568" i="2"/>
  <c r="V567" i="2"/>
  <c r="T567" i="2"/>
  <c r="S567" i="2"/>
  <c r="M567" i="2"/>
  <c r="L567" i="2"/>
  <c r="V566" i="2"/>
  <c r="T566" i="2"/>
  <c r="S566" i="2"/>
  <c r="M566" i="2"/>
  <c r="L566" i="2"/>
  <c r="V565" i="2"/>
  <c r="T565" i="2"/>
  <c r="S565" i="2"/>
  <c r="M565" i="2"/>
  <c r="L565" i="2"/>
  <c r="V564" i="2"/>
  <c r="T564" i="2"/>
  <c r="S564" i="2"/>
  <c r="M564" i="2"/>
  <c r="L564" i="2"/>
  <c r="V563" i="2"/>
  <c r="T563" i="2"/>
  <c r="S563" i="2"/>
  <c r="M563" i="2"/>
  <c r="L563" i="2"/>
  <c r="V562" i="2"/>
  <c r="T562" i="2"/>
  <c r="S562" i="2"/>
  <c r="M562" i="2"/>
  <c r="L562" i="2"/>
  <c r="V561" i="2"/>
  <c r="T561" i="2"/>
  <c r="S561" i="2"/>
  <c r="M561" i="2"/>
  <c r="L561" i="2"/>
  <c r="V560" i="2"/>
  <c r="T560" i="2"/>
  <c r="S560" i="2"/>
  <c r="M560" i="2"/>
  <c r="L560" i="2"/>
  <c r="V559" i="2"/>
  <c r="T559" i="2"/>
  <c r="S559" i="2"/>
  <c r="M559" i="2"/>
  <c r="L559" i="2"/>
  <c r="V558" i="2"/>
  <c r="T558" i="2"/>
  <c r="S558" i="2"/>
  <c r="M558" i="2"/>
  <c r="L558" i="2"/>
  <c r="V557" i="2"/>
  <c r="T557" i="2"/>
  <c r="S557" i="2"/>
  <c r="M557" i="2"/>
  <c r="L557" i="2"/>
  <c r="V556" i="2"/>
  <c r="T556" i="2"/>
  <c r="S556" i="2"/>
  <c r="M556" i="2"/>
  <c r="L556" i="2"/>
  <c r="V555" i="2"/>
  <c r="T555" i="2"/>
  <c r="S555" i="2"/>
  <c r="M555" i="2"/>
  <c r="L555" i="2"/>
  <c r="V554" i="2"/>
  <c r="T554" i="2"/>
  <c r="S554" i="2"/>
  <c r="M554" i="2"/>
  <c r="L554" i="2"/>
  <c r="V553" i="2"/>
  <c r="T553" i="2"/>
  <c r="S553" i="2"/>
  <c r="M553" i="2"/>
  <c r="L553" i="2"/>
  <c r="V552" i="2"/>
  <c r="T552" i="2"/>
  <c r="S552" i="2"/>
  <c r="M552" i="2"/>
  <c r="L552" i="2"/>
  <c r="V551" i="2"/>
  <c r="T551" i="2"/>
  <c r="S551" i="2"/>
  <c r="M551" i="2"/>
  <c r="L551" i="2"/>
  <c r="V550" i="2"/>
  <c r="T550" i="2"/>
  <c r="S550" i="2"/>
  <c r="M550" i="2"/>
  <c r="L550" i="2"/>
  <c r="V549" i="2"/>
  <c r="T549" i="2"/>
  <c r="S549" i="2"/>
  <c r="M549" i="2"/>
  <c r="L549" i="2"/>
  <c r="V548" i="2"/>
  <c r="T548" i="2"/>
  <c r="S548" i="2"/>
  <c r="M548" i="2"/>
  <c r="L548" i="2"/>
  <c r="V547" i="2"/>
  <c r="T547" i="2"/>
  <c r="S547" i="2"/>
  <c r="M547" i="2"/>
  <c r="L547" i="2"/>
  <c r="V546" i="2"/>
  <c r="T546" i="2"/>
  <c r="S546" i="2"/>
  <c r="M546" i="2"/>
  <c r="L546" i="2"/>
  <c r="V545" i="2"/>
  <c r="T545" i="2"/>
  <c r="S545" i="2"/>
  <c r="M545" i="2"/>
  <c r="L545" i="2"/>
  <c r="V544" i="2"/>
  <c r="T544" i="2"/>
  <c r="S544" i="2"/>
  <c r="M544" i="2"/>
  <c r="L544" i="2"/>
  <c r="V543" i="2"/>
  <c r="T543" i="2"/>
  <c r="S543" i="2"/>
  <c r="M543" i="2"/>
  <c r="L543" i="2"/>
  <c r="V542" i="2"/>
  <c r="T542" i="2"/>
  <c r="S542" i="2"/>
  <c r="M542" i="2"/>
  <c r="L542" i="2"/>
  <c r="V541" i="2"/>
  <c r="T541" i="2"/>
  <c r="S541" i="2"/>
  <c r="M541" i="2"/>
  <c r="L541" i="2"/>
  <c r="V540" i="2"/>
  <c r="T540" i="2"/>
  <c r="S540" i="2"/>
  <c r="M540" i="2"/>
  <c r="L540" i="2"/>
  <c r="V539" i="2"/>
  <c r="T539" i="2"/>
  <c r="S539" i="2"/>
  <c r="M539" i="2"/>
  <c r="L539" i="2"/>
  <c r="V538" i="2"/>
  <c r="T538" i="2"/>
  <c r="S538" i="2"/>
  <c r="M538" i="2"/>
  <c r="L538" i="2"/>
  <c r="V537" i="2"/>
  <c r="T537" i="2"/>
  <c r="S537" i="2"/>
  <c r="M537" i="2"/>
  <c r="L537" i="2"/>
  <c r="V536" i="2"/>
  <c r="T536" i="2"/>
  <c r="S536" i="2"/>
  <c r="M536" i="2"/>
  <c r="L536" i="2"/>
  <c r="V535" i="2"/>
  <c r="T535" i="2"/>
  <c r="S535" i="2"/>
  <c r="M535" i="2"/>
  <c r="L535" i="2"/>
  <c r="V534" i="2"/>
  <c r="T534" i="2"/>
  <c r="S534" i="2"/>
  <c r="M534" i="2"/>
  <c r="L534" i="2"/>
  <c r="V533" i="2"/>
  <c r="T533" i="2"/>
  <c r="S533" i="2"/>
  <c r="M533" i="2"/>
  <c r="L533" i="2"/>
  <c r="V532" i="2"/>
  <c r="T532" i="2"/>
  <c r="S532" i="2"/>
  <c r="M532" i="2"/>
  <c r="L532" i="2"/>
  <c r="V531" i="2"/>
  <c r="T531" i="2"/>
  <c r="S531" i="2"/>
  <c r="M531" i="2"/>
  <c r="L531" i="2"/>
  <c r="V530" i="2"/>
  <c r="T530" i="2"/>
  <c r="S530" i="2"/>
  <c r="M530" i="2"/>
  <c r="L530" i="2"/>
  <c r="V529" i="2"/>
  <c r="T529" i="2"/>
  <c r="S529" i="2"/>
  <c r="M529" i="2"/>
  <c r="L529" i="2"/>
  <c r="V528" i="2"/>
  <c r="T528" i="2"/>
  <c r="S528" i="2"/>
  <c r="M528" i="2"/>
  <c r="L528" i="2"/>
  <c r="V527" i="2"/>
  <c r="T527" i="2"/>
  <c r="S527" i="2"/>
  <c r="M527" i="2"/>
  <c r="L527" i="2"/>
  <c r="V526" i="2"/>
  <c r="T526" i="2"/>
  <c r="S526" i="2"/>
  <c r="M526" i="2"/>
  <c r="L526" i="2"/>
  <c r="V525" i="2"/>
  <c r="T525" i="2"/>
  <c r="S525" i="2"/>
  <c r="M525" i="2"/>
  <c r="L525" i="2"/>
  <c r="V524" i="2"/>
  <c r="T524" i="2"/>
  <c r="S524" i="2"/>
  <c r="M524" i="2"/>
  <c r="L524" i="2"/>
  <c r="V523" i="2"/>
  <c r="T523" i="2"/>
  <c r="S523" i="2"/>
  <c r="M523" i="2"/>
  <c r="L523" i="2"/>
  <c r="V522" i="2"/>
  <c r="T522" i="2"/>
  <c r="S522" i="2"/>
  <c r="M522" i="2"/>
  <c r="L522" i="2"/>
  <c r="V521" i="2"/>
  <c r="T521" i="2"/>
  <c r="S521" i="2"/>
  <c r="M521" i="2"/>
  <c r="L521" i="2"/>
  <c r="V520" i="2"/>
  <c r="T520" i="2"/>
  <c r="S520" i="2"/>
  <c r="M520" i="2"/>
  <c r="L520" i="2"/>
  <c r="V519" i="2"/>
  <c r="T519" i="2"/>
  <c r="S519" i="2"/>
  <c r="M519" i="2"/>
  <c r="L519" i="2"/>
  <c r="V518" i="2"/>
  <c r="T518" i="2"/>
  <c r="S518" i="2"/>
  <c r="M518" i="2"/>
  <c r="L518" i="2"/>
  <c r="V517" i="2"/>
  <c r="T517" i="2"/>
  <c r="S517" i="2"/>
  <c r="M517" i="2"/>
  <c r="L517" i="2"/>
  <c r="V516" i="2"/>
  <c r="T516" i="2"/>
  <c r="S516" i="2"/>
  <c r="M516" i="2"/>
  <c r="L516" i="2"/>
  <c r="V515" i="2"/>
  <c r="T515" i="2"/>
  <c r="S515" i="2"/>
  <c r="M515" i="2"/>
  <c r="L515" i="2"/>
  <c r="V514" i="2"/>
  <c r="T514" i="2"/>
  <c r="S514" i="2"/>
  <c r="M514" i="2"/>
  <c r="L514" i="2"/>
  <c r="V513" i="2"/>
  <c r="T513" i="2"/>
  <c r="S513" i="2"/>
  <c r="M513" i="2"/>
  <c r="L513" i="2"/>
  <c r="V512" i="2"/>
  <c r="T512" i="2"/>
  <c r="S512" i="2"/>
  <c r="M512" i="2"/>
  <c r="L512" i="2"/>
  <c r="V511" i="2"/>
  <c r="T511" i="2"/>
  <c r="S511" i="2"/>
  <c r="M511" i="2"/>
  <c r="L511" i="2"/>
  <c r="V510" i="2"/>
  <c r="T510" i="2"/>
  <c r="S510" i="2"/>
  <c r="M510" i="2"/>
  <c r="L510" i="2"/>
  <c r="V509" i="2"/>
  <c r="T509" i="2"/>
  <c r="S509" i="2"/>
  <c r="M509" i="2"/>
  <c r="L509" i="2"/>
  <c r="V508" i="2"/>
  <c r="T508" i="2"/>
  <c r="S508" i="2"/>
  <c r="M508" i="2"/>
  <c r="L508" i="2"/>
  <c r="V507" i="2"/>
  <c r="T507" i="2"/>
  <c r="S507" i="2"/>
  <c r="M507" i="2"/>
  <c r="L507" i="2"/>
  <c r="V506" i="2"/>
  <c r="T506" i="2"/>
  <c r="S506" i="2"/>
  <c r="M506" i="2"/>
  <c r="L506" i="2"/>
  <c r="V505" i="2"/>
  <c r="T505" i="2"/>
  <c r="S505" i="2"/>
  <c r="M505" i="2"/>
  <c r="L505" i="2"/>
  <c r="V504" i="2"/>
  <c r="T504" i="2"/>
  <c r="S504" i="2"/>
  <c r="M504" i="2"/>
  <c r="L504" i="2"/>
  <c r="V503" i="2"/>
  <c r="T503" i="2"/>
  <c r="S503" i="2"/>
  <c r="M503" i="2"/>
  <c r="L503" i="2"/>
  <c r="V502" i="2"/>
  <c r="T502" i="2"/>
  <c r="S502" i="2"/>
  <c r="M502" i="2"/>
  <c r="L502" i="2"/>
  <c r="V501" i="2"/>
  <c r="T501" i="2"/>
  <c r="S501" i="2"/>
  <c r="M501" i="2"/>
  <c r="L501" i="2"/>
  <c r="V500" i="2"/>
  <c r="T500" i="2"/>
  <c r="S500" i="2"/>
  <c r="M500" i="2"/>
  <c r="L500" i="2"/>
  <c r="V499" i="2"/>
  <c r="T499" i="2"/>
  <c r="S499" i="2"/>
  <c r="M499" i="2"/>
  <c r="L499" i="2"/>
  <c r="V498" i="2"/>
  <c r="T498" i="2"/>
  <c r="S498" i="2"/>
  <c r="M498" i="2"/>
  <c r="L498" i="2"/>
  <c r="V497" i="2"/>
  <c r="T497" i="2"/>
  <c r="S497" i="2"/>
  <c r="M497" i="2"/>
  <c r="L497" i="2"/>
  <c r="V496" i="2"/>
  <c r="T496" i="2"/>
  <c r="S496" i="2"/>
  <c r="M496" i="2"/>
  <c r="L496" i="2"/>
  <c r="V495" i="2"/>
  <c r="T495" i="2"/>
  <c r="S495" i="2"/>
  <c r="M495" i="2"/>
  <c r="L495" i="2"/>
  <c r="V494" i="2"/>
  <c r="T494" i="2"/>
  <c r="S494" i="2"/>
  <c r="M494" i="2"/>
  <c r="L494" i="2"/>
  <c r="V493" i="2"/>
  <c r="T493" i="2"/>
  <c r="S493" i="2"/>
  <c r="M493" i="2"/>
  <c r="L493" i="2"/>
  <c r="V492" i="2"/>
  <c r="T492" i="2"/>
  <c r="S492" i="2"/>
  <c r="M492" i="2"/>
  <c r="L492" i="2"/>
  <c r="V491" i="2"/>
  <c r="T491" i="2"/>
  <c r="S491" i="2"/>
  <c r="M491" i="2"/>
  <c r="L491" i="2"/>
  <c r="V490" i="2"/>
  <c r="T490" i="2"/>
  <c r="S490" i="2"/>
  <c r="M490" i="2"/>
  <c r="L490" i="2"/>
  <c r="V489" i="2"/>
  <c r="T489" i="2"/>
  <c r="S489" i="2"/>
  <c r="M489" i="2"/>
  <c r="L489" i="2"/>
  <c r="V488" i="2"/>
  <c r="T488" i="2"/>
  <c r="S488" i="2"/>
  <c r="M488" i="2"/>
  <c r="L488" i="2"/>
  <c r="V487" i="2"/>
  <c r="T487" i="2"/>
  <c r="S487" i="2"/>
  <c r="M487" i="2"/>
  <c r="L487" i="2"/>
  <c r="V486" i="2"/>
  <c r="T486" i="2"/>
  <c r="S486" i="2"/>
  <c r="M486" i="2"/>
  <c r="L486" i="2"/>
  <c r="V485" i="2"/>
  <c r="T485" i="2"/>
  <c r="S485" i="2"/>
  <c r="M485" i="2"/>
  <c r="L485" i="2"/>
  <c r="V484" i="2"/>
  <c r="T484" i="2"/>
  <c r="S484" i="2"/>
  <c r="M484" i="2"/>
  <c r="L484" i="2"/>
  <c r="V483" i="2"/>
  <c r="T483" i="2"/>
  <c r="S483" i="2"/>
  <c r="M483" i="2"/>
  <c r="L483" i="2"/>
  <c r="V482" i="2"/>
  <c r="T482" i="2"/>
  <c r="S482" i="2"/>
  <c r="M482" i="2"/>
  <c r="L482" i="2"/>
  <c r="V481" i="2"/>
  <c r="T481" i="2"/>
  <c r="S481" i="2"/>
  <c r="M481" i="2"/>
  <c r="L481" i="2"/>
  <c r="V480" i="2"/>
  <c r="T480" i="2"/>
  <c r="S480" i="2"/>
  <c r="M480" i="2"/>
  <c r="L480" i="2"/>
  <c r="V479" i="2"/>
  <c r="T479" i="2"/>
  <c r="S479" i="2"/>
  <c r="M479" i="2"/>
  <c r="L479" i="2"/>
  <c r="V478" i="2"/>
  <c r="T478" i="2"/>
  <c r="S478" i="2"/>
  <c r="M478" i="2"/>
  <c r="L478" i="2"/>
  <c r="V477" i="2"/>
  <c r="T477" i="2"/>
  <c r="S477" i="2"/>
  <c r="M477" i="2"/>
  <c r="L477" i="2"/>
  <c r="V476" i="2"/>
  <c r="T476" i="2"/>
  <c r="S476" i="2"/>
  <c r="M476" i="2"/>
  <c r="L476" i="2"/>
  <c r="V475" i="2"/>
  <c r="T475" i="2"/>
  <c r="S475" i="2"/>
  <c r="M475" i="2"/>
  <c r="L475" i="2"/>
  <c r="V474" i="2"/>
  <c r="T474" i="2"/>
  <c r="S474" i="2"/>
  <c r="M474" i="2"/>
  <c r="L474" i="2"/>
  <c r="V473" i="2"/>
  <c r="T473" i="2"/>
  <c r="S473" i="2"/>
  <c r="M473" i="2"/>
  <c r="L473" i="2"/>
  <c r="V472" i="2"/>
  <c r="T472" i="2"/>
  <c r="S472" i="2"/>
  <c r="M472" i="2"/>
  <c r="L472" i="2"/>
  <c r="V471" i="2"/>
  <c r="T471" i="2"/>
  <c r="S471" i="2"/>
  <c r="M471" i="2"/>
  <c r="L471" i="2"/>
  <c r="V470" i="2"/>
  <c r="T470" i="2"/>
  <c r="S470" i="2"/>
  <c r="M470" i="2"/>
  <c r="L470" i="2"/>
  <c r="V469" i="2"/>
  <c r="T469" i="2"/>
  <c r="S469" i="2"/>
  <c r="M469" i="2"/>
  <c r="L469" i="2"/>
  <c r="V468" i="2"/>
  <c r="T468" i="2"/>
  <c r="S468" i="2"/>
  <c r="M468" i="2"/>
  <c r="L468" i="2"/>
  <c r="V467" i="2"/>
  <c r="T467" i="2"/>
  <c r="S467" i="2"/>
  <c r="M467" i="2"/>
  <c r="L467" i="2"/>
  <c r="V466" i="2"/>
  <c r="T466" i="2"/>
  <c r="S466" i="2"/>
  <c r="M466" i="2"/>
  <c r="L466" i="2"/>
  <c r="V465" i="2"/>
  <c r="T465" i="2"/>
  <c r="S465" i="2"/>
  <c r="M465" i="2"/>
  <c r="L465" i="2"/>
  <c r="V464" i="2"/>
  <c r="T464" i="2"/>
  <c r="S464" i="2"/>
  <c r="M464" i="2"/>
  <c r="L464" i="2"/>
  <c r="V463" i="2"/>
  <c r="T463" i="2"/>
  <c r="S463" i="2"/>
  <c r="M463" i="2"/>
  <c r="L463" i="2"/>
  <c r="V462" i="2"/>
  <c r="T462" i="2"/>
  <c r="S462" i="2"/>
  <c r="M462" i="2"/>
  <c r="L462" i="2"/>
  <c r="V461" i="2"/>
  <c r="T461" i="2"/>
  <c r="S461" i="2"/>
  <c r="M461" i="2"/>
  <c r="L461" i="2"/>
  <c r="V460" i="2"/>
  <c r="T460" i="2"/>
  <c r="S460" i="2"/>
  <c r="M460" i="2"/>
  <c r="L460" i="2"/>
  <c r="V459" i="2"/>
  <c r="T459" i="2"/>
  <c r="S459" i="2"/>
  <c r="M459" i="2"/>
  <c r="L459" i="2"/>
  <c r="V458" i="2"/>
  <c r="T458" i="2"/>
  <c r="S458" i="2"/>
  <c r="M458" i="2"/>
  <c r="L458" i="2"/>
  <c r="V457" i="2"/>
  <c r="T457" i="2"/>
  <c r="S457" i="2"/>
  <c r="M457" i="2"/>
  <c r="L457" i="2"/>
  <c r="V456" i="2"/>
  <c r="T456" i="2"/>
  <c r="S456" i="2"/>
  <c r="M456" i="2"/>
  <c r="L456" i="2"/>
  <c r="V455" i="2"/>
  <c r="T455" i="2"/>
  <c r="S455" i="2"/>
  <c r="M455" i="2"/>
  <c r="L455" i="2"/>
  <c r="V454" i="2"/>
  <c r="T454" i="2"/>
  <c r="S454" i="2"/>
  <c r="M454" i="2"/>
  <c r="L454" i="2"/>
  <c r="V453" i="2"/>
  <c r="T453" i="2"/>
  <c r="S453" i="2"/>
  <c r="M453" i="2"/>
  <c r="L453" i="2"/>
  <c r="V452" i="2"/>
  <c r="T452" i="2"/>
  <c r="S452" i="2"/>
  <c r="M452" i="2"/>
  <c r="L452" i="2"/>
  <c r="V451" i="2"/>
  <c r="T451" i="2"/>
  <c r="S451" i="2"/>
  <c r="M451" i="2"/>
  <c r="L451" i="2"/>
  <c r="V450" i="2"/>
  <c r="T450" i="2"/>
  <c r="S450" i="2"/>
  <c r="M450" i="2"/>
  <c r="L450" i="2"/>
  <c r="V449" i="2"/>
  <c r="T449" i="2"/>
  <c r="S449" i="2"/>
  <c r="M449" i="2"/>
  <c r="L449" i="2"/>
  <c r="V448" i="2"/>
  <c r="T448" i="2"/>
  <c r="S448" i="2"/>
  <c r="M448" i="2"/>
  <c r="L448" i="2"/>
  <c r="V447" i="2"/>
  <c r="T447" i="2"/>
  <c r="S447" i="2"/>
  <c r="M447" i="2"/>
  <c r="L447" i="2"/>
  <c r="V446" i="2"/>
  <c r="T446" i="2"/>
  <c r="S446" i="2"/>
  <c r="M446" i="2"/>
  <c r="L446" i="2"/>
  <c r="V445" i="2"/>
  <c r="T445" i="2"/>
  <c r="S445" i="2"/>
  <c r="M445" i="2"/>
  <c r="L445" i="2"/>
  <c r="V444" i="2"/>
  <c r="T444" i="2"/>
  <c r="S444" i="2"/>
  <c r="M444" i="2"/>
  <c r="L444" i="2"/>
  <c r="V443" i="2"/>
  <c r="T443" i="2"/>
  <c r="S443" i="2"/>
  <c r="M443" i="2"/>
  <c r="L443" i="2"/>
  <c r="V442" i="2"/>
  <c r="T442" i="2"/>
  <c r="S442" i="2"/>
  <c r="M442" i="2"/>
  <c r="L442" i="2"/>
  <c r="V441" i="2"/>
  <c r="T441" i="2"/>
  <c r="S441" i="2"/>
  <c r="M441" i="2"/>
  <c r="L441" i="2"/>
  <c r="V440" i="2"/>
  <c r="T440" i="2"/>
  <c r="S440" i="2"/>
  <c r="M440" i="2"/>
  <c r="L440" i="2"/>
  <c r="V439" i="2"/>
  <c r="T439" i="2"/>
  <c r="S439" i="2"/>
  <c r="M439" i="2"/>
  <c r="L439" i="2"/>
  <c r="V438" i="2"/>
  <c r="T438" i="2"/>
  <c r="S438" i="2"/>
  <c r="M438" i="2"/>
  <c r="L438" i="2"/>
  <c r="V437" i="2"/>
  <c r="T437" i="2"/>
  <c r="S437" i="2"/>
  <c r="M437" i="2"/>
  <c r="L437" i="2"/>
  <c r="V436" i="2"/>
  <c r="T436" i="2"/>
  <c r="S436" i="2"/>
  <c r="M436" i="2"/>
  <c r="L436" i="2"/>
  <c r="V435" i="2"/>
  <c r="T435" i="2"/>
  <c r="S435" i="2"/>
  <c r="M435" i="2"/>
  <c r="L435" i="2"/>
  <c r="V434" i="2"/>
  <c r="T434" i="2"/>
  <c r="S434" i="2"/>
  <c r="M434" i="2"/>
  <c r="L434" i="2"/>
  <c r="V433" i="2"/>
  <c r="T433" i="2"/>
  <c r="S433" i="2"/>
  <c r="M433" i="2"/>
  <c r="L433" i="2"/>
  <c r="V432" i="2"/>
  <c r="T432" i="2"/>
  <c r="S432" i="2"/>
  <c r="M432" i="2"/>
  <c r="L432" i="2"/>
  <c r="V431" i="2"/>
  <c r="T431" i="2"/>
  <c r="S431" i="2"/>
  <c r="M431" i="2"/>
  <c r="L431" i="2"/>
  <c r="V430" i="2"/>
  <c r="T430" i="2"/>
  <c r="S430" i="2"/>
  <c r="M430" i="2"/>
  <c r="L430" i="2"/>
  <c r="V429" i="2"/>
  <c r="T429" i="2"/>
  <c r="S429" i="2"/>
  <c r="M429" i="2"/>
  <c r="L429" i="2"/>
  <c r="V428" i="2"/>
  <c r="T428" i="2"/>
  <c r="S428" i="2"/>
  <c r="M428" i="2"/>
  <c r="L428" i="2"/>
  <c r="V427" i="2"/>
  <c r="T427" i="2"/>
  <c r="S427" i="2"/>
  <c r="M427" i="2"/>
  <c r="L427" i="2"/>
  <c r="V426" i="2"/>
  <c r="T426" i="2"/>
  <c r="S426" i="2"/>
  <c r="M426" i="2"/>
  <c r="L426" i="2"/>
  <c r="V425" i="2"/>
  <c r="T425" i="2"/>
  <c r="S425" i="2"/>
  <c r="M425" i="2"/>
  <c r="L425" i="2"/>
  <c r="V424" i="2"/>
  <c r="T424" i="2"/>
  <c r="S424" i="2"/>
  <c r="M424" i="2"/>
  <c r="L424" i="2"/>
  <c r="V423" i="2"/>
  <c r="T423" i="2"/>
  <c r="S423" i="2"/>
  <c r="M423" i="2"/>
  <c r="L423" i="2"/>
  <c r="V422" i="2"/>
  <c r="T422" i="2"/>
  <c r="S422" i="2"/>
  <c r="M422" i="2"/>
  <c r="L422" i="2"/>
  <c r="V421" i="2"/>
  <c r="T421" i="2"/>
  <c r="S421" i="2"/>
  <c r="M421" i="2"/>
  <c r="L421" i="2"/>
  <c r="V420" i="2"/>
  <c r="T420" i="2"/>
  <c r="S420" i="2"/>
  <c r="M420" i="2"/>
  <c r="L420" i="2"/>
  <c r="V419" i="2"/>
  <c r="T419" i="2"/>
  <c r="S419" i="2"/>
  <c r="M419" i="2"/>
  <c r="L419" i="2"/>
  <c r="V418" i="2"/>
  <c r="T418" i="2"/>
  <c r="S418" i="2"/>
  <c r="M418" i="2"/>
  <c r="L418" i="2"/>
  <c r="V417" i="2"/>
  <c r="T417" i="2"/>
  <c r="S417" i="2"/>
  <c r="M417" i="2"/>
  <c r="L417" i="2"/>
  <c r="V416" i="2"/>
  <c r="T416" i="2"/>
  <c r="S416" i="2"/>
  <c r="M416" i="2"/>
  <c r="L416" i="2"/>
  <c r="V415" i="2"/>
  <c r="T415" i="2"/>
  <c r="S415" i="2"/>
  <c r="M415" i="2"/>
  <c r="L415" i="2"/>
  <c r="V414" i="2"/>
  <c r="T414" i="2"/>
  <c r="S414" i="2"/>
  <c r="M414" i="2"/>
  <c r="L414" i="2"/>
  <c r="V413" i="2"/>
  <c r="T413" i="2"/>
  <c r="S413" i="2"/>
  <c r="M413" i="2"/>
  <c r="L413" i="2"/>
  <c r="V412" i="2"/>
  <c r="T412" i="2"/>
  <c r="S412" i="2"/>
  <c r="M412" i="2"/>
  <c r="L412" i="2"/>
  <c r="V411" i="2"/>
  <c r="T411" i="2"/>
  <c r="S411" i="2"/>
  <c r="M411" i="2"/>
  <c r="L411" i="2"/>
  <c r="V410" i="2"/>
  <c r="T410" i="2"/>
  <c r="S410" i="2"/>
  <c r="M410" i="2"/>
  <c r="L410" i="2"/>
  <c r="V409" i="2"/>
  <c r="T409" i="2"/>
  <c r="S409" i="2"/>
  <c r="M409" i="2"/>
  <c r="L409" i="2"/>
  <c r="V408" i="2"/>
  <c r="T408" i="2"/>
  <c r="S408" i="2"/>
  <c r="M408" i="2"/>
  <c r="L408" i="2"/>
  <c r="V407" i="2"/>
  <c r="T407" i="2"/>
  <c r="S407" i="2"/>
  <c r="M407" i="2"/>
  <c r="L407" i="2"/>
  <c r="V406" i="2"/>
  <c r="T406" i="2"/>
  <c r="S406" i="2"/>
  <c r="M406" i="2"/>
  <c r="L406" i="2"/>
  <c r="V405" i="2"/>
  <c r="T405" i="2"/>
  <c r="S405" i="2"/>
  <c r="M405" i="2"/>
  <c r="L405" i="2"/>
  <c r="V404" i="2"/>
  <c r="T404" i="2"/>
  <c r="S404" i="2"/>
  <c r="M404" i="2"/>
  <c r="L404" i="2"/>
  <c r="V403" i="2"/>
  <c r="T403" i="2"/>
  <c r="S403" i="2"/>
  <c r="M403" i="2"/>
  <c r="L403" i="2"/>
  <c r="V402" i="2"/>
  <c r="T402" i="2"/>
  <c r="S402" i="2"/>
  <c r="M402" i="2"/>
  <c r="L402" i="2"/>
  <c r="V401" i="2"/>
  <c r="T401" i="2"/>
  <c r="S401" i="2"/>
  <c r="M401" i="2"/>
  <c r="L401" i="2"/>
  <c r="V400" i="2"/>
  <c r="T400" i="2"/>
  <c r="S400" i="2"/>
  <c r="M400" i="2"/>
  <c r="L400" i="2"/>
  <c r="V399" i="2"/>
  <c r="T399" i="2"/>
  <c r="S399" i="2"/>
  <c r="M399" i="2"/>
  <c r="L399" i="2"/>
  <c r="V398" i="2"/>
  <c r="T398" i="2"/>
  <c r="S398" i="2"/>
  <c r="M398" i="2"/>
  <c r="L398" i="2"/>
  <c r="V397" i="2"/>
  <c r="T397" i="2"/>
  <c r="S397" i="2"/>
  <c r="M397" i="2"/>
  <c r="L397" i="2"/>
  <c r="V396" i="2"/>
  <c r="T396" i="2"/>
  <c r="S396" i="2"/>
  <c r="M396" i="2"/>
  <c r="L396" i="2"/>
  <c r="V395" i="2"/>
  <c r="T395" i="2"/>
  <c r="S395" i="2"/>
  <c r="M395" i="2"/>
  <c r="L395" i="2"/>
  <c r="V394" i="2"/>
  <c r="T394" i="2"/>
  <c r="S394" i="2"/>
  <c r="M394" i="2"/>
  <c r="L394" i="2"/>
  <c r="V393" i="2"/>
  <c r="T393" i="2"/>
  <c r="S393" i="2"/>
  <c r="M393" i="2"/>
  <c r="L393" i="2"/>
  <c r="V392" i="2"/>
  <c r="T392" i="2"/>
  <c r="S392" i="2"/>
  <c r="M392" i="2"/>
  <c r="L392" i="2"/>
  <c r="V391" i="2"/>
  <c r="T391" i="2"/>
  <c r="S391" i="2"/>
  <c r="M391" i="2"/>
  <c r="L391" i="2"/>
  <c r="V390" i="2"/>
  <c r="T390" i="2"/>
  <c r="S390" i="2"/>
  <c r="M390" i="2"/>
  <c r="L390" i="2"/>
  <c r="V389" i="2"/>
  <c r="T389" i="2"/>
  <c r="S389" i="2"/>
  <c r="M389" i="2"/>
  <c r="L389" i="2"/>
  <c r="V388" i="2"/>
  <c r="T388" i="2"/>
  <c r="S388" i="2"/>
  <c r="M388" i="2"/>
  <c r="L388" i="2"/>
  <c r="V387" i="2"/>
  <c r="T387" i="2"/>
  <c r="S387" i="2"/>
  <c r="M387" i="2"/>
  <c r="L387" i="2"/>
  <c r="V386" i="2"/>
  <c r="T386" i="2"/>
  <c r="S386" i="2"/>
  <c r="M386" i="2"/>
  <c r="L386" i="2"/>
  <c r="V385" i="2"/>
  <c r="T385" i="2"/>
  <c r="S385" i="2"/>
  <c r="M385" i="2"/>
  <c r="L385" i="2"/>
  <c r="V384" i="2"/>
  <c r="T384" i="2"/>
  <c r="S384" i="2"/>
  <c r="M384" i="2"/>
  <c r="L384" i="2"/>
  <c r="V383" i="2"/>
  <c r="T383" i="2"/>
  <c r="S383" i="2"/>
  <c r="M383" i="2"/>
  <c r="L383" i="2"/>
  <c r="V382" i="2"/>
  <c r="T382" i="2"/>
  <c r="S382" i="2"/>
  <c r="M382" i="2"/>
  <c r="L382" i="2"/>
  <c r="V381" i="2"/>
  <c r="T381" i="2"/>
  <c r="S381" i="2"/>
  <c r="M381" i="2"/>
  <c r="L381" i="2"/>
  <c r="V380" i="2"/>
  <c r="T380" i="2"/>
  <c r="S380" i="2"/>
  <c r="M380" i="2"/>
  <c r="L380" i="2"/>
  <c r="V379" i="2"/>
  <c r="T379" i="2"/>
  <c r="S379" i="2"/>
  <c r="M379" i="2"/>
  <c r="L379" i="2"/>
  <c r="V378" i="2"/>
  <c r="T378" i="2"/>
  <c r="S378" i="2"/>
  <c r="M378" i="2"/>
  <c r="L378" i="2"/>
  <c r="V377" i="2"/>
  <c r="T377" i="2"/>
  <c r="S377" i="2"/>
  <c r="M377" i="2"/>
  <c r="L377" i="2"/>
  <c r="V376" i="2"/>
  <c r="T376" i="2"/>
  <c r="S376" i="2"/>
  <c r="M376" i="2"/>
  <c r="L376" i="2"/>
  <c r="V375" i="2"/>
  <c r="T375" i="2"/>
  <c r="S375" i="2"/>
  <c r="M375" i="2"/>
  <c r="L375" i="2"/>
  <c r="V374" i="2"/>
  <c r="T374" i="2"/>
  <c r="S374" i="2"/>
  <c r="M374" i="2"/>
  <c r="L374" i="2"/>
  <c r="V373" i="2"/>
  <c r="T373" i="2"/>
  <c r="S373" i="2"/>
  <c r="M373" i="2"/>
  <c r="L373" i="2"/>
  <c r="V372" i="2"/>
  <c r="T372" i="2"/>
  <c r="S372" i="2"/>
  <c r="M372" i="2"/>
  <c r="L372" i="2"/>
  <c r="V371" i="2"/>
  <c r="T371" i="2"/>
  <c r="S371" i="2"/>
  <c r="M371" i="2"/>
  <c r="L371" i="2"/>
  <c r="V370" i="2"/>
  <c r="T370" i="2"/>
  <c r="S370" i="2"/>
  <c r="M370" i="2"/>
  <c r="L370" i="2"/>
  <c r="V369" i="2"/>
  <c r="T369" i="2"/>
  <c r="S369" i="2"/>
  <c r="M369" i="2"/>
  <c r="L369" i="2"/>
  <c r="V368" i="2"/>
  <c r="T368" i="2"/>
  <c r="S368" i="2"/>
  <c r="M368" i="2"/>
  <c r="L368" i="2"/>
  <c r="V367" i="2"/>
  <c r="T367" i="2"/>
  <c r="S367" i="2"/>
  <c r="M367" i="2"/>
  <c r="L367" i="2"/>
  <c r="V366" i="2"/>
  <c r="T366" i="2"/>
  <c r="S366" i="2"/>
  <c r="M366" i="2"/>
  <c r="L366" i="2"/>
  <c r="V365" i="2"/>
  <c r="T365" i="2"/>
  <c r="S365" i="2"/>
  <c r="M365" i="2"/>
  <c r="L365" i="2"/>
  <c r="V364" i="2"/>
  <c r="T364" i="2"/>
  <c r="S364" i="2"/>
  <c r="M364" i="2"/>
  <c r="L364" i="2"/>
  <c r="V363" i="2"/>
  <c r="T363" i="2"/>
  <c r="S363" i="2"/>
  <c r="M363" i="2"/>
  <c r="L363" i="2"/>
  <c r="V362" i="2"/>
  <c r="T362" i="2"/>
  <c r="S362" i="2"/>
  <c r="M362" i="2"/>
  <c r="L362" i="2"/>
  <c r="V361" i="2"/>
  <c r="T361" i="2"/>
  <c r="S361" i="2"/>
  <c r="M361" i="2"/>
  <c r="L361" i="2"/>
  <c r="V360" i="2"/>
  <c r="T360" i="2"/>
  <c r="S360" i="2"/>
  <c r="M360" i="2"/>
  <c r="L360" i="2"/>
  <c r="V359" i="2"/>
  <c r="T359" i="2"/>
  <c r="S359" i="2"/>
  <c r="M359" i="2"/>
  <c r="L359" i="2"/>
  <c r="V358" i="2"/>
  <c r="T358" i="2"/>
  <c r="S358" i="2"/>
  <c r="M358" i="2"/>
  <c r="L358" i="2"/>
  <c r="V357" i="2"/>
  <c r="T357" i="2"/>
  <c r="S357" i="2"/>
  <c r="M357" i="2"/>
  <c r="L357" i="2"/>
  <c r="V356" i="2"/>
  <c r="T356" i="2"/>
  <c r="S356" i="2"/>
  <c r="M356" i="2"/>
  <c r="L356" i="2"/>
  <c r="V355" i="2"/>
  <c r="T355" i="2"/>
  <c r="S355" i="2"/>
  <c r="M355" i="2"/>
  <c r="L355" i="2"/>
  <c r="V354" i="2"/>
  <c r="T354" i="2"/>
  <c r="S354" i="2"/>
  <c r="M354" i="2"/>
  <c r="L354" i="2"/>
  <c r="V353" i="2"/>
  <c r="T353" i="2"/>
  <c r="S353" i="2"/>
  <c r="M353" i="2"/>
  <c r="L353" i="2"/>
  <c r="V352" i="2"/>
  <c r="T352" i="2"/>
  <c r="S352" i="2"/>
  <c r="M352" i="2"/>
  <c r="L352" i="2"/>
  <c r="V351" i="2"/>
  <c r="T351" i="2"/>
  <c r="S351" i="2"/>
  <c r="M351" i="2"/>
  <c r="L351" i="2"/>
  <c r="V350" i="2"/>
  <c r="T350" i="2"/>
  <c r="S350" i="2"/>
  <c r="M350" i="2"/>
  <c r="L350" i="2"/>
  <c r="V349" i="2"/>
  <c r="T349" i="2"/>
  <c r="S349" i="2"/>
  <c r="M349" i="2"/>
  <c r="L349" i="2"/>
  <c r="V348" i="2"/>
  <c r="T348" i="2"/>
  <c r="S348" i="2"/>
  <c r="M348" i="2"/>
  <c r="L348" i="2"/>
  <c r="V347" i="2"/>
  <c r="T347" i="2"/>
  <c r="S347" i="2"/>
  <c r="M347" i="2"/>
  <c r="L347" i="2"/>
  <c r="V346" i="2"/>
  <c r="T346" i="2"/>
  <c r="S346" i="2"/>
  <c r="M346" i="2"/>
  <c r="L346" i="2"/>
  <c r="V345" i="2"/>
  <c r="T345" i="2"/>
  <c r="S345" i="2"/>
  <c r="M345" i="2"/>
  <c r="L345" i="2"/>
  <c r="V344" i="2"/>
  <c r="T344" i="2"/>
  <c r="S344" i="2"/>
  <c r="M344" i="2"/>
  <c r="L344" i="2"/>
  <c r="V343" i="2"/>
  <c r="T343" i="2"/>
  <c r="S343" i="2"/>
  <c r="M343" i="2"/>
  <c r="L343" i="2"/>
  <c r="V342" i="2"/>
  <c r="T342" i="2"/>
  <c r="S342" i="2"/>
  <c r="M342" i="2"/>
  <c r="L342" i="2"/>
  <c r="V341" i="2"/>
  <c r="T341" i="2"/>
  <c r="S341" i="2"/>
  <c r="M341" i="2"/>
  <c r="L341" i="2"/>
  <c r="V340" i="2"/>
  <c r="T340" i="2"/>
  <c r="S340" i="2"/>
  <c r="M340" i="2"/>
  <c r="L340" i="2"/>
  <c r="V339" i="2"/>
  <c r="T339" i="2"/>
  <c r="S339" i="2"/>
  <c r="M339" i="2"/>
  <c r="L339" i="2"/>
  <c r="V338" i="2"/>
  <c r="T338" i="2"/>
  <c r="S338" i="2"/>
  <c r="M338" i="2"/>
  <c r="L338" i="2"/>
  <c r="V337" i="2"/>
  <c r="T337" i="2"/>
  <c r="S337" i="2"/>
  <c r="M337" i="2"/>
  <c r="L337" i="2"/>
  <c r="V336" i="2"/>
  <c r="T336" i="2"/>
  <c r="S336" i="2"/>
  <c r="M336" i="2"/>
  <c r="L336" i="2"/>
  <c r="V335" i="2"/>
  <c r="T335" i="2"/>
  <c r="S335" i="2"/>
  <c r="M335" i="2"/>
  <c r="L335" i="2"/>
  <c r="V334" i="2"/>
  <c r="T334" i="2"/>
  <c r="S334" i="2"/>
  <c r="M334" i="2"/>
  <c r="L334" i="2"/>
  <c r="V333" i="2"/>
  <c r="T333" i="2"/>
  <c r="S333" i="2"/>
  <c r="M333" i="2"/>
  <c r="L333" i="2"/>
  <c r="V332" i="2"/>
  <c r="T332" i="2"/>
  <c r="S332" i="2"/>
  <c r="M332" i="2"/>
  <c r="L332" i="2"/>
  <c r="V331" i="2"/>
  <c r="T331" i="2"/>
  <c r="S331" i="2"/>
  <c r="M331" i="2"/>
  <c r="L331" i="2"/>
  <c r="V330" i="2"/>
  <c r="T330" i="2"/>
  <c r="S330" i="2"/>
  <c r="M330" i="2"/>
  <c r="L330" i="2"/>
  <c r="V329" i="2"/>
  <c r="T329" i="2"/>
  <c r="S329" i="2"/>
  <c r="M329" i="2"/>
  <c r="L329" i="2"/>
  <c r="V328" i="2"/>
  <c r="T328" i="2"/>
  <c r="S328" i="2"/>
  <c r="M328" i="2"/>
  <c r="L328" i="2"/>
  <c r="V327" i="2"/>
  <c r="T327" i="2"/>
  <c r="S327" i="2"/>
  <c r="M327" i="2"/>
  <c r="L327" i="2"/>
  <c r="V326" i="2"/>
  <c r="T326" i="2"/>
  <c r="S326" i="2"/>
  <c r="M326" i="2"/>
  <c r="L326" i="2"/>
  <c r="V325" i="2"/>
  <c r="T325" i="2"/>
  <c r="S325" i="2"/>
  <c r="M325" i="2"/>
  <c r="L325" i="2"/>
  <c r="V324" i="2"/>
  <c r="T324" i="2"/>
  <c r="S324" i="2"/>
  <c r="M324" i="2"/>
  <c r="L324" i="2"/>
  <c r="V323" i="2"/>
  <c r="T323" i="2"/>
  <c r="S323" i="2"/>
  <c r="M323" i="2"/>
  <c r="L323" i="2"/>
  <c r="V322" i="2"/>
  <c r="T322" i="2"/>
  <c r="S322" i="2"/>
  <c r="M322" i="2"/>
  <c r="L322" i="2"/>
  <c r="V321" i="2"/>
  <c r="T321" i="2"/>
  <c r="S321" i="2"/>
  <c r="M321" i="2"/>
  <c r="L321" i="2"/>
  <c r="V320" i="2"/>
  <c r="T320" i="2"/>
  <c r="S320" i="2"/>
  <c r="M320" i="2"/>
  <c r="L320" i="2"/>
  <c r="V319" i="2"/>
  <c r="T319" i="2"/>
  <c r="S319" i="2"/>
  <c r="M319" i="2"/>
  <c r="L319" i="2"/>
  <c r="V318" i="2"/>
  <c r="T318" i="2"/>
  <c r="S318" i="2"/>
  <c r="M318" i="2"/>
  <c r="L318" i="2"/>
  <c r="V317" i="2"/>
  <c r="T317" i="2"/>
  <c r="S317" i="2"/>
  <c r="M317" i="2"/>
  <c r="L317" i="2"/>
  <c r="V316" i="2"/>
  <c r="T316" i="2"/>
  <c r="S316" i="2"/>
  <c r="M316" i="2"/>
  <c r="L316" i="2"/>
  <c r="V315" i="2"/>
  <c r="T315" i="2"/>
  <c r="S315" i="2"/>
  <c r="M315" i="2"/>
  <c r="L315" i="2"/>
  <c r="V314" i="2"/>
  <c r="T314" i="2"/>
  <c r="S314" i="2"/>
  <c r="M314" i="2"/>
  <c r="L314" i="2"/>
  <c r="V313" i="2"/>
  <c r="T313" i="2"/>
  <c r="S313" i="2"/>
  <c r="M313" i="2"/>
  <c r="L313" i="2"/>
  <c r="V312" i="2"/>
  <c r="T312" i="2"/>
  <c r="S312" i="2"/>
  <c r="M312" i="2"/>
  <c r="L312" i="2"/>
  <c r="V311" i="2"/>
  <c r="T311" i="2"/>
  <c r="S311" i="2"/>
  <c r="M311" i="2"/>
  <c r="L311" i="2"/>
  <c r="V310" i="2"/>
  <c r="T310" i="2"/>
  <c r="S310" i="2"/>
  <c r="M310" i="2"/>
  <c r="L310" i="2"/>
  <c r="V309" i="2"/>
  <c r="T309" i="2"/>
  <c r="S309" i="2"/>
  <c r="M309" i="2"/>
  <c r="L309" i="2"/>
  <c r="V308" i="2"/>
  <c r="T308" i="2"/>
  <c r="S308" i="2"/>
  <c r="M308" i="2"/>
  <c r="L308" i="2"/>
  <c r="V307" i="2"/>
  <c r="T307" i="2"/>
  <c r="S307" i="2"/>
  <c r="M307" i="2"/>
  <c r="L307" i="2"/>
  <c r="V306" i="2"/>
  <c r="T306" i="2"/>
  <c r="S306" i="2"/>
  <c r="M306" i="2"/>
  <c r="L306" i="2"/>
  <c r="V305" i="2"/>
  <c r="T305" i="2"/>
  <c r="S305" i="2"/>
  <c r="M305" i="2"/>
  <c r="L305" i="2"/>
  <c r="V304" i="2"/>
  <c r="T304" i="2"/>
  <c r="S304" i="2"/>
  <c r="M304" i="2"/>
  <c r="L304" i="2"/>
  <c r="V303" i="2"/>
  <c r="T303" i="2"/>
  <c r="S303" i="2"/>
  <c r="M303" i="2"/>
  <c r="L303" i="2"/>
  <c r="V302" i="2"/>
  <c r="T302" i="2"/>
  <c r="S302" i="2"/>
  <c r="M302" i="2"/>
  <c r="L302" i="2"/>
  <c r="V301" i="2"/>
  <c r="T301" i="2"/>
  <c r="S301" i="2"/>
  <c r="M301" i="2"/>
  <c r="L301" i="2"/>
  <c r="V300" i="2"/>
  <c r="T300" i="2"/>
  <c r="S300" i="2"/>
  <c r="M300" i="2"/>
  <c r="L300" i="2"/>
  <c r="V299" i="2"/>
  <c r="T299" i="2"/>
  <c r="S299" i="2"/>
  <c r="M299" i="2"/>
  <c r="L299" i="2"/>
  <c r="V298" i="2"/>
  <c r="T298" i="2"/>
  <c r="S298" i="2"/>
  <c r="M298" i="2"/>
  <c r="L298" i="2"/>
  <c r="V297" i="2"/>
  <c r="T297" i="2"/>
  <c r="S297" i="2"/>
  <c r="M297" i="2"/>
  <c r="L297" i="2"/>
  <c r="V296" i="2"/>
  <c r="T296" i="2"/>
  <c r="S296" i="2"/>
  <c r="M296" i="2"/>
  <c r="L296" i="2"/>
  <c r="V295" i="2"/>
  <c r="T295" i="2"/>
  <c r="S295" i="2"/>
  <c r="M295" i="2"/>
  <c r="L295" i="2"/>
  <c r="V294" i="2"/>
  <c r="T294" i="2"/>
  <c r="S294" i="2"/>
  <c r="M294" i="2"/>
  <c r="L294" i="2"/>
  <c r="V293" i="2"/>
  <c r="T293" i="2"/>
  <c r="S293" i="2"/>
  <c r="M293" i="2"/>
  <c r="L293" i="2"/>
  <c r="V292" i="2"/>
  <c r="T292" i="2"/>
  <c r="S292" i="2"/>
  <c r="M292" i="2"/>
  <c r="L292" i="2"/>
  <c r="V291" i="2"/>
  <c r="T291" i="2"/>
  <c r="S291" i="2"/>
  <c r="M291" i="2"/>
  <c r="L291" i="2"/>
  <c r="V290" i="2"/>
  <c r="T290" i="2"/>
  <c r="S290" i="2"/>
  <c r="M290" i="2"/>
  <c r="L290" i="2"/>
  <c r="V289" i="2"/>
  <c r="T289" i="2"/>
  <c r="S289" i="2"/>
  <c r="M289" i="2"/>
  <c r="L289" i="2"/>
  <c r="V288" i="2"/>
  <c r="T288" i="2"/>
  <c r="S288" i="2"/>
  <c r="M288" i="2"/>
  <c r="L288" i="2"/>
  <c r="V287" i="2"/>
  <c r="T287" i="2"/>
  <c r="S287" i="2"/>
  <c r="M287" i="2"/>
  <c r="L287" i="2"/>
  <c r="V286" i="2"/>
  <c r="T286" i="2"/>
  <c r="S286" i="2"/>
  <c r="M286" i="2"/>
  <c r="L286" i="2"/>
  <c r="V285" i="2"/>
  <c r="T285" i="2"/>
  <c r="S285" i="2"/>
  <c r="M285" i="2"/>
  <c r="L285" i="2"/>
  <c r="V284" i="2"/>
  <c r="T284" i="2"/>
  <c r="S284" i="2"/>
  <c r="M284" i="2"/>
  <c r="L284" i="2"/>
  <c r="V283" i="2"/>
  <c r="T283" i="2"/>
  <c r="S283" i="2"/>
  <c r="M283" i="2"/>
  <c r="L283" i="2"/>
  <c r="V282" i="2"/>
  <c r="T282" i="2"/>
  <c r="S282" i="2"/>
  <c r="M282" i="2"/>
  <c r="L282" i="2"/>
  <c r="V281" i="2"/>
  <c r="T281" i="2"/>
  <c r="S281" i="2"/>
  <c r="M281" i="2"/>
  <c r="L281" i="2"/>
  <c r="V280" i="2"/>
  <c r="T280" i="2"/>
  <c r="S280" i="2"/>
  <c r="M280" i="2"/>
  <c r="L280" i="2"/>
  <c r="V279" i="2"/>
  <c r="T279" i="2"/>
  <c r="S279" i="2"/>
  <c r="M279" i="2"/>
  <c r="L279" i="2"/>
  <c r="V278" i="2"/>
  <c r="T278" i="2"/>
  <c r="S278" i="2"/>
  <c r="M278" i="2"/>
  <c r="L278" i="2"/>
  <c r="V277" i="2"/>
  <c r="T277" i="2"/>
  <c r="S277" i="2"/>
  <c r="M277" i="2"/>
  <c r="L277" i="2"/>
  <c r="V276" i="2"/>
  <c r="T276" i="2"/>
  <c r="S276" i="2"/>
  <c r="M276" i="2"/>
  <c r="L276" i="2"/>
  <c r="V275" i="2"/>
  <c r="T275" i="2"/>
  <c r="S275" i="2"/>
  <c r="M275" i="2"/>
  <c r="L275" i="2"/>
  <c r="V274" i="2"/>
  <c r="T274" i="2"/>
  <c r="S274" i="2"/>
  <c r="M274" i="2"/>
  <c r="L274" i="2"/>
  <c r="V273" i="2"/>
  <c r="T273" i="2"/>
  <c r="S273" i="2"/>
  <c r="M273" i="2"/>
  <c r="L273" i="2"/>
  <c r="V272" i="2"/>
  <c r="T272" i="2"/>
  <c r="S272" i="2"/>
  <c r="M272" i="2"/>
  <c r="L272" i="2"/>
  <c r="V271" i="2"/>
  <c r="T271" i="2"/>
  <c r="S271" i="2"/>
  <c r="M271" i="2"/>
  <c r="L271" i="2"/>
  <c r="V270" i="2"/>
  <c r="T270" i="2"/>
  <c r="S270" i="2"/>
  <c r="M270" i="2"/>
  <c r="L270" i="2"/>
  <c r="V269" i="2"/>
  <c r="T269" i="2"/>
  <c r="S269" i="2"/>
  <c r="M269" i="2"/>
  <c r="L269" i="2"/>
  <c r="V268" i="2"/>
  <c r="T268" i="2"/>
  <c r="S268" i="2"/>
  <c r="M268" i="2"/>
  <c r="L268" i="2"/>
  <c r="V267" i="2"/>
  <c r="T267" i="2"/>
  <c r="S267" i="2"/>
  <c r="M267" i="2"/>
  <c r="L267" i="2"/>
  <c r="V266" i="2"/>
  <c r="T266" i="2"/>
  <c r="S266" i="2"/>
  <c r="M266" i="2"/>
  <c r="L266" i="2"/>
  <c r="V265" i="2"/>
  <c r="T265" i="2"/>
  <c r="S265" i="2"/>
  <c r="M265" i="2"/>
  <c r="L265" i="2"/>
  <c r="V264" i="2"/>
  <c r="T264" i="2"/>
  <c r="S264" i="2"/>
  <c r="M264" i="2"/>
  <c r="L264" i="2"/>
  <c r="V263" i="2"/>
  <c r="T263" i="2"/>
  <c r="S263" i="2"/>
  <c r="M263" i="2"/>
  <c r="L263" i="2"/>
  <c r="V262" i="2"/>
  <c r="T262" i="2"/>
  <c r="S262" i="2"/>
  <c r="M262" i="2"/>
  <c r="L262" i="2"/>
  <c r="V261" i="2"/>
  <c r="T261" i="2"/>
  <c r="S261" i="2"/>
  <c r="M261" i="2"/>
  <c r="L261" i="2"/>
  <c r="V260" i="2"/>
  <c r="T260" i="2"/>
  <c r="S260" i="2"/>
  <c r="M260" i="2"/>
  <c r="L260" i="2"/>
  <c r="V259" i="2"/>
  <c r="T259" i="2"/>
  <c r="S259" i="2"/>
  <c r="M259" i="2"/>
  <c r="L259" i="2"/>
  <c r="V258" i="2"/>
  <c r="T258" i="2"/>
  <c r="S258" i="2"/>
  <c r="M258" i="2"/>
  <c r="L258" i="2"/>
  <c r="V257" i="2"/>
  <c r="T257" i="2"/>
  <c r="S257" i="2"/>
  <c r="M257" i="2"/>
  <c r="L257" i="2"/>
  <c r="V256" i="2"/>
  <c r="T256" i="2"/>
  <c r="S256" i="2"/>
  <c r="M256" i="2"/>
  <c r="L256" i="2"/>
  <c r="V255" i="2"/>
  <c r="T255" i="2"/>
  <c r="S255" i="2"/>
  <c r="M255" i="2"/>
  <c r="L255" i="2"/>
  <c r="V254" i="2"/>
  <c r="T254" i="2"/>
  <c r="S254" i="2"/>
  <c r="M254" i="2"/>
  <c r="L254" i="2"/>
  <c r="V253" i="2"/>
  <c r="T253" i="2"/>
  <c r="S253" i="2"/>
  <c r="M253" i="2"/>
  <c r="L253" i="2"/>
  <c r="V252" i="2"/>
  <c r="T252" i="2"/>
  <c r="S252" i="2"/>
  <c r="M252" i="2"/>
  <c r="L252" i="2"/>
  <c r="V251" i="2"/>
  <c r="T251" i="2"/>
  <c r="S251" i="2"/>
  <c r="M251" i="2"/>
  <c r="L251" i="2"/>
  <c r="V250" i="2"/>
  <c r="T250" i="2"/>
  <c r="S250" i="2"/>
  <c r="M250" i="2"/>
  <c r="L250" i="2"/>
  <c r="V249" i="2"/>
  <c r="T249" i="2"/>
  <c r="S249" i="2"/>
  <c r="M249" i="2"/>
  <c r="L249" i="2"/>
  <c r="V248" i="2"/>
  <c r="T248" i="2"/>
  <c r="S248" i="2"/>
  <c r="M248" i="2"/>
  <c r="L248" i="2"/>
  <c r="V247" i="2"/>
  <c r="T247" i="2"/>
  <c r="S247" i="2"/>
  <c r="M247" i="2"/>
  <c r="L247" i="2"/>
  <c r="V246" i="2"/>
  <c r="T246" i="2"/>
  <c r="S246" i="2"/>
  <c r="M246" i="2"/>
  <c r="L246" i="2"/>
  <c r="V245" i="2"/>
  <c r="T245" i="2"/>
  <c r="S245" i="2"/>
  <c r="M245" i="2"/>
  <c r="L245" i="2"/>
  <c r="V244" i="2"/>
  <c r="T244" i="2"/>
  <c r="S244" i="2"/>
  <c r="M244" i="2"/>
  <c r="L244" i="2"/>
  <c r="V243" i="2"/>
  <c r="T243" i="2"/>
  <c r="S243" i="2"/>
  <c r="M243" i="2"/>
  <c r="L243" i="2"/>
  <c r="V242" i="2"/>
  <c r="T242" i="2"/>
  <c r="S242" i="2"/>
  <c r="M242" i="2"/>
  <c r="L242" i="2"/>
  <c r="V241" i="2"/>
  <c r="T241" i="2"/>
  <c r="S241" i="2"/>
  <c r="M241" i="2"/>
  <c r="L241" i="2"/>
  <c r="V240" i="2"/>
  <c r="T240" i="2"/>
  <c r="S240" i="2"/>
  <c r="M240" i="2"/>
  <c r="L240" i="2"/>
  <c r="V239" i="2"/>
  <c r="T239" i="2"/>
  <c r="S239" i="2"/>
  <c r="M239" i="2"/>
  <c r="L239" i="2"/>
  <c r="V238" i="2"/>
  <c r="T238" i="2"/>
  <c r="S238" i="2"/>
  <c r="M238" i="2"/>
  <c r="L238" i="2"/>
  <c r="V237" i="2"/>
  <c r="T237" i="2"/>
  <c r="S237" i="2"/>
  <c r="M237" i="2"/>
  <c r="L237" i="2"/>
  <c r="V236" i="2"/>
  <c r="T236" i="2"/>
  <c r="S236" i="2"/>
  <c r="M236" i="2"/>
  <c r="L236" i="2"/>
  <c r="V235" i="2"/>
  <c r="T235" i="2"/>
  <c r="S235" i="2"/>
  <c r="M235" i="2"/>
  <c r="L235" i="2"/>
  <c r="V234" i="2"/>
  <c r="T234" i="2"/>
  <c r="S234" i="2"/>
  <c r="M234" i="2"/>
  <c r="L234" i="2"/>
  <c r="V233" i="2"/>
  <c r="T233" i="2"/>
  <c r="S233" i="2"/>
  <c r="M233" i="2"/>
  <c r="L233" i="2"/>
  <c r="V232" i="2"/>
  <c r="T232" i="2"/>
  <c r="S232" i="2"/>
  <c r="M232" i="2"/>
  <c r="L232" i="2"/>
  <c r="V231" i="2"/>
  <c r="T231" i="2"/>
  <c r="S231" i="2"/>
  <c r="M231" i="2"/>
  <c r="L231" i="2"/>
  <c r="V230" i="2"/>
  <c r="T230" i="2"/>
  <c r="S230" i="2"/>
  <c r="M230" i="2"/>
  <c r="L230" i="2"/>
  <c r="V229" i="2"/>
  <c r="T229" i="2"/>
  <c r="S229" i="2"/>
  <c r="M229" i="2"/>
  <c r="L229" i="2"/>
  <c r="V228" i="2"/>
  <c r="T228" i="2"/>
  <c r="S228" i="2"/>
  <c r="M228" i="2"/>
  <c r="L228" i="2"/>
  <c r="V227" i="2"/>
  <c r="T227" i="2"/>
  <c r="S227" i="2"/>
  <c r="M227" i="2"/>
  <c r="L227" i="2"/>
  <c r="V226" i="2"/>
  <c r="T226" i="2"/>
  <c r="S226" i="2"/>
  <c r="M226" i="2"/>
  <c r="L226" i="2"/>
  <c r="V225" i="2"/>
  <c r="T225" i="2"/>
  <c r="S225" i="2"/>
  <c r="M225" i="2"/>
  <c r="L225" i="2"/>
  <c r="V224" i="2"/>
  <c r="T224" i="2"/>
  <c r="S224" i="2"/>
  <c r="M224" i="2"/>
  <c r="L224" i="2"/>
  <c r="V223" i="2"/>
  <c r="T223" i="2"/>
  <c r="S223" i="2"/>
  <c r="M223" i="2"/>
  <c r="L223" i="2"/>
  <c r="V222" i="2"/>
  <c r="T222" i="2"/>
  <c r="S222" i="2"/>
  <c r="M222" i="2"/>
  <c r="L222" i="2"/>
  <c r="V221" i="2"/>
  <c r="T221" i="2"/>
  <c r="S221" i="2"/>
  <c r="M221" i="2"/>
  <c r="L221" i="2"/>
  <c r="V220" i="2"/>
  <c r="T220" i="2"/>
  <c r="S220" i="2"/>
  <c r="M220" i="2"/>
  <c r="L220" i="2"/>
  <c r="V219" i="2"/>
  <c r="T219" i="2"/>
  <c r="S219" i="2"/>
  <c r="M219" i="2"/>
  <c r="L219" i="2"/>
  <c r="V218" i="2"/>
  <c r="T218" i="2"/>
  <c r="S218" i="2"/>
  <c r="M218" i="2"/>
  <c r="L218" i="2"/>
  <c r="V217" i="2"/>
  <c r="T217" i="2"/>
  <c r="S217" i="2"/>
  <c r="M217" i="2"/>
  <c r="L217" i="2"/>
  <c r="V216" i="2"/>
  <c r="T216" i="2"/>
  <c r="S216" i="2"/>
  <c r="M216" i="2"/>
  <c r="L216" i="2"/>
  <c r="V215" i="2"/>
  <c r="T215" i="2"/>
  <c r="S215" i="2"/>
  <c r="M215" i="2"/>
  <c r="L215" i="2"/>
  <c r="V214" i="2"/>
  <c r="T214" i="2"/>
  <c r="S214" i="2"/>
  <c r="M214" i="2"/>
  <c r="L214" i="2"/>
  <c r="V213" i="2"/>
  <c r="T213" i="2"/>
  <c r="S213" i="2"/>
  <c r="M213" i="2"/>
  <c r="L213" i="2"/>
  <c r="V212" i="2"/>
  <c r="T212" i="2"/>
  <c r="S212" i="2"/>
  <c r="M212" i="2"/>
  <c r="L212" i="2"/>
  <c r="V211" i="2"/>
  <c r="T211" i="2"/>
  <c r="S211" i="2"/>
  <c r="M211" i="2"/>
  <c r="L211" i="2"/>
  <c r="V210" i="2"/>
  <c r="T210" i="2"/>
  <c r="S210" i="2"/>
  <c r="M210" i="2"/>
  <c r="L210" i="2"/>
  <c r="V209" i="2"/>
  <c r="T209" i="2"/>
  <c r="S209" i="2"/>
  <c r="M209" i="2"/>
  <c r="L209" i="2"/>
  <c r="V208" i="2"/>
  <c r="T208" i="2"/>
  <c r="S208" i="2"/>
  <c r="M208" i="2"/>
  <c r="L208" i="2"/>
  <c r="V207" i="2"/>
  <c r="T207" i="2"/>
  <c r="S207" i="2"/>
  <c r="M207" i="2"/>
  <c r="L207" i="2"/>
  <c r="V206" i="2"/>
  <c r="T206" i="2"/>
  <c r="S206" i="2"/>
  <c r="M206" i="2"/>
  <c r="L206" i="2"/>
  <c r="V205" i="2"/>
  <c r="T205" i="2"/>
  <c r="S205" i="2"/>
  <c r="M205" i="2"/>
  <c r="L205" i="2"/>
  <c r="V204" i="2"/>
  <c r="T204" i="2"/>
  <c r="S204" i="2"/>
  <c r="M204" i="2"/>
  <c r="L204" i="2"/>
  <c r="V203" i="2"/>
  <c r="T203" i="2"/>
  <c r="S203" i="2"/>
  <c r="M203" i="2"/>
  <c r="L203" i="2"/>
  <c r="V202" i="2"/>
  <c r="T202" i="2"/>
  <c r="S202" i="2"/>
  <c r="M202" i="2"/>
  <c r="L202" i="2"/>
  <c r="V201" i="2"/>
  <c r="T201" i="2"/>
  <c r="S201" i="2"/>
  <c r="M201" i="2"/>
  <c r="L201" i="2"/>
  <c r="V200" i="2"/>
  <c r="T200" i="2"/>
  <c r="S200" i="2"/>
  <c r="M200" i="2"/>
  <c r="L200" i="2"/>
  <c r="V199" i="2"/>
  <c r="T199" i="2"/>
  <c r="S199" i="2"/>
  <c r="M199" i="2"/>
  <c r="L199" i="2"/>
  <c r="V198" i="2"/>
  <c r="T198" i="2"/>
  <c r="S198" i="2"/>
  <c r="M198" i="2"/>
  <c r="L198" i="2"/>
  <c r="V197" i="2"/>
  <c r="T197" i="2"/>
  <c r="S197" i="2"/>
  <c r="M197" i="2"/>
  <c r="L197" i="2"/>
  <c r="V196" i="2"/>
  <c r="T196" i="2"/>
  <c r="M196" i="2"/>
  <c r="L196" i="2"/>
  <c r="M195" i="2"/>
  <c r="V195" i="2" s="1"/>
  <c r="L195" i="2"/>
  <c r="T195" i="2" s="1"/>
  <c r="T194" i="2"/>
  <c r="M194" i="2"/>
  <c r="V194" i="2" s="1"/>
  <c r="L194" i="2"/>
  <c r="M193" i="2"/>
  <c r="V193" i="2" s="1"/>
  <c r="L193" i="2"/>
  <c r="T193" i="2" s="1"/>
  <c r="V192" i="2"/>
  <c r="M192" i="2"/>
  <c r="L192" i="2"/>
  <c r="V191" i="2"/>
  <c r="M191" i="2"/>
  <c r="L191" i="2"/>
  <c r="T191" i="2" s="1"/>
  <c r="V190" i="2"/>
  <c r="T190" i="2"/>
  <c r="M190" i="2"/>
  <c r="L190" i="2"/>
  <c r="V189" i="2"/>
  <c r="M189" i="2"/>
  <c r="L189" i="2"/>
  <c r="T189" i="2" s="1"/>
  <c r="T188" i="2"/>
  <c r="M188" i="2"/>
  <c r="V188" i="2" s="1"/>
  <c r="L188" i="2"/>
  <c r="M187" i="2"/>
  <c r="V187" i="2" s="1"/>
  <c r="L187" i="2"/>
  <c r="T187" i="2" s="1"/>
  <c r="M186" i="2"/>
  <c r="V186" i="2" s="1"/>
  <c r="L186" i="2"/>
  <c r="T186" i="2" s="1"/>
  <c r="M185" i="2"/>
  <c r="V185" i="2" s="1"/>
  <c r="L185" i="2"/>
  <c r="M184" i="2"/>
  <c r="L184" i="2"/>
  <c r="V184" i="2" s="1"/>
  <c r="V183" i="2"/>
  <c r="M183" i="2"/>
  <c r="L183" i="2"/>
  <c r="K10" i="3" s="1"/>
  <c r="V182" i="2"/>
  <c r="T182" i="2"/>
  <c r="M182" i="2"/>
  <c r="L182" i="2"/>
  <c r="C10" i="3" s="1"/>
  <c r="E27" i="1" s="1"/>
  <c r="M181" i="2"/>
  <c r="V181" i="2" s="1"/>
  <c r="L181" i="2"/>
  <c r="T181" i="2" s="1"/>
  <c r="V180" i="2"/>
  <c r="T180" i="2"/>
  <c r="M180" i="2"/>
  <c r="L180" i="2"/>
  <c r="M179" i="2"/>
  <c r="V179" i="2" s="1"/>
  <c r="L179" i="2"/>
  <c r="T179" i="2" s="1"/>
  <c r="M26" i="3" s="1"/>
  <c r="T178" i="2"/>
  <c r="M178" i="2"/>
  <c r="V178" i="2" s="1"/>
  <c r="L178" i="2"/>
  <c r="K20" i="3" s="1"/>
  <c r="M177" i="2"/>
  <c r="V177" i="2" s="1"/>
  <c r="L177" i="2"/>
  <c r="V176" i="2"/>
  <c r="M176" i="2"/>
  <c r="L176" i="2"/>
  <c r="T176" i="2" s="1"/>
  <c r="V175" i="2"/>
  <c r="M175" i="2"/>
  <c r="L175" i="2"/>
  <c r="T175" i="2" s="1"/>
  <c r="V174" i="2"/>
  <c r="T174" i="2"/>
  <c r="M174" i="2"/>
  <c r="L174" i="2"/>
  <c r="V173" i="2"/>
  <c r="M173" i="2"/>
  <c r="L173" i="2"/>
  <c r="T173" i="2" s="1"/>
  <c r="T172" i="2"/>
  <c r="M172" i="2"/>
  <c r="V172" i="2" s="1"/>
  <c r="L172" i="2"/>
  <c r="M171" i="2"/>
  <c r="V171" i="2" s="1"/>
  <c r="L171" i="2"/>
  <c r="M170" i="2"/>
  <c r="V170" i="2" s="1"/>
  <c r="L170" i="2"/>
  <c r="T170" i="2" s="1"/>
  <c r="M169" i="2"/>
  <c r="V169" i="2" s="1"/>
  <c r="L169" i="2"/>
  <c r="T169" i="2" s="1"/>
  <c r="M168" i="2"/>
  <c r="L168" i="2"/>
  <c r="V168" i="2" s="1"/>
  <c r="V167" i="2"/>
  <c r="M167" i="2"/>
  <c r="L167" i="2"/>
  <c r="T167" i="2" s="1"/>
  <c r="V166" i="2"/>
  <c r="T166" i="2"/>
  <c r="M166" i="2"/>
  <c r="L166" i="2"/>
  <c r="M165" i="2"/>
  <c r="V165" i="2" s="1"/>
  <c r="L165" i="2"/>
  <c r="T165" i="2" s="1"/>
  <c r="V164" i="2"/>
  <c r="T164" i="2"/>
  <c r="M164" i="2"/>
  <c r="L164" i="2"/>
  <c r="M163" i="2"/>
  <c r="V163" i="2" s="1"/>
  <c r="L163" i="2"/>
  <c r="T163" i="2" s="1"/>
  <c r="T162" i="2"/>
  <c r="M162" i="2"/>
  <c r="V162" i="2" s="1"/>
  <c r="L162" i="2"/>
  <c r="M161" i="2"/>
  <c r="V161" i="2" s="1"/>
  <c r="L161" i="2"/>
  <c r="T161" i="2" s="1"/>
  <c r="V160" i="2"/>
  <c r="M160" i="2"/>
  <c r="L160" i="2"/>
  <c r="T160" i="2" s="1"/>
  <c r="V159" i="2"/>
  <c r="M159" i="2"/>
  <c r="L159" i="2"/>
  <c r="T159" i="2" s="1"/>
  <c r="V158" i="2"/>
  <c r="T158" i="2"/>
  <c r="M158" i="2"/>
  <c r="L158" i="2"/>
  <c r="V157" i="2"/>
  <c r="M157" i="2"/>
  <c r="L157" i="2"/>
  <c r="T157" i="2" s="1"/>
  <c r="T156" i="2"/>
  <c r="M156" i="2"/>
  <c r="V156" i="2" s="1"/>
  <c r="L156" i="2"/>
  <c r="M155" i="2"/>
  <c r="V155" i="2" s="1"/>
  <c r="L155" i="2"/>
  <c r="T155" i="2" s="1"/>
  <c r="M154" i="2"/>
  <c r="V154" i="2" s="1"/>
  <c r="L154" i="2"/>
  <c r="T154" i="2" s="1"/>
  <c r="M153" i="2"/>
  <c r="V153" i="2" s="1"/>
  <c r="L153" i="2"/>
  <c r="D9" i="3" s="1"/>
  <c r="M152" i="2"/>
  <c r="L152" i="2"/>
  <c r="V151" i="2"/>
  <c r="M151" i="2"/>
  <c r="L151" i="2"/>
  <c r="T151" i="2" s="1"/>
  <c r="V150" i="2"/>
  <c r="T150" i="2"/>
  <c r="M150" i="2"/>
  <c r="L150" i="2"/>
  <c r="M149" i="2"/>
  <c r="V149" i="2" s="1"/>
  <c r="L149" i="2"/>
  <c r="T149" i="2" s="1"/>
  <c r="V148" i="2"/>
  <c r="T148" i="2"/>
  <c r="M148" i="2"/>
  <c r="L148" i="2"/>
  <c r="M147" i="2"/>
  <c r="V147" i="2" s="1"/>
  <c r="L147" i="2"/>
  <c r="T147" i="2" s="1"/>
  <c r="T146" i="2"/>
  <c r="M146" i="2"/>
  <c r="V146" i="2" s="1"/>
  <c r="L146" i="2"/>
  <c r="M145" i="2"/>
  <c r="V145" i="2" s="1"/>
  <c r="L145" i="2"/>
  <c r="T145" i="2" s="1"/>
  <c r="V144" i="2"/>
  <c r="M144" i="2"/>
  <c r="L144" i="2"/>
  <c r="T144" i="2" s="1"/>
  <c r="V143" i="2"/>
  <c r="M143" i="2"/>
  <c r="L143" i="2"/>
  <c r="T143" i="2" s="1"/>
  <c r="V142" i="2"/>
  <c r="T142" i="2"/>
  <c r="M142" i="2"/>
  <c r="L142" i="2"/>
  <c r="V141" i="2"/>
  <c r="M141" i="2"/>
  <c r="L141" i="2"/>
  <c r="T141" i="2" s="1"/>
  <c r="V140" i="2"/>
  <c r="T140" i="2"/>
  <c r="M140" i="2"/>
  <c r="L140" i="2"/>
  <c r="M139" i="2"/>
  <c r="V139" i="2" s="1"/>
  <c r="L139" i="2"/>
  <c r="T139" i="2" s="1"/>
  <c r="M138" i="2"/>
  <c r="V138" i="2" s="1"/>
  <c r="L138" i="2"/>
  <c r="T138" i="2" s="1"/>
  <c r="M137" i="2"/>
  <c r="V137" i="2" s="1"/>
  <c r="L137" i="2"/>
  <c r="T137" i="2" s="1"/>
  <c r="M136" i="2"/>
  <c r="L136" i="2"/>
  <c r="V136" i="2" s="1"/>
  <c r="V135" i="2"/>
  <c r="M135" i="2"/>
  <c r="L135" i="2"/>
  <c r="T135" i="2" s="1"/>
  <c r="V134" i="2"/>
  <c r="T134" i="2"/>
  <c r="M134" i="2"/>
  <c r="L134" i="2"/>
  <c r="M133" i="2"/>
  <c r="V133" i="2" s="1"/>
  <c r="L133" i="2"/>
  <c r="T133" i="2" s="1"/>
  <c r="V132" i="2"/>
  <c r="T132" i="2"/>
  <c r="M132" i="2"/>
  <c r="L132" i="2"/>
  <c r="M131" i="2"/>
  <c r="V131" i="2" s="1"/>
  <c r="L131" i="2"/>
  <c r="T131" i="2" s="1"/>
  <c r="T130" i="2"/>
  <c r="M130" i="2"/>
  <c r="V130" i="2" s="1"/>
  <c r="L130" i="2"/>
  <c r="M129" i="2"/>
  <c r="V129" i="2" s="1"/>
  <c r="L129" i="2"/>
  <c r="V128" i="2"/>
  <c r="M128" i="2"/>
  <c r="L128" i="2"/>
  <c r="T128" i="2" s="1"/>
  <c r="V127" i="2"/>
  <c r="M127" i="2"/>
  <c r="L127" i="2"/>
  <c r="T127" i="2" s="1"/>
  <c r="V126" i="2"/>
  <c r="T126" i="2"/>
  <c r="M126" i="2"/>
  <c r="L126" i="2"/>
  <c r="V125" i="2"/>
  <c r="M125" i="2"/>
  <c r="L125" i="2"/>
  <c r="T125" i="2" s="1"/>
  <c r="T124" i="2"/>
  <c r="M124" i="2"/>
  <c r="V124" i="2" s="1"/>
  <c r="L124" i="2"/>
  <c r="M123" i="2"/>
  <c r="V123" i="2" s="1"/>
  <c r="L123" i="2"/>
  <c r="T123" i="2" s="1"/>
  <c r="M122" i="2"/>
  <c r="V122" i="2" s="1"/>
  <c r="L122" i="2"/>
  <c r="T122" i="2" s="1"/>
  <c r="M121" i="2"/>
  <c r="V121" i="2" s="1"/>
  <c r="L121" i="2"/>
  <c r="T121" i="2" s="1"/>
  <c r="M120" i="2"/>
  <c r="L120" i="2"/>
  <c r="V120" i="2" s="1"/>
  <c r="V119" i="2"/>
  <c r="M119" i="2"/>
  <c r="L119" i="2"/>
  <c r="K8" i="3" s="1"/>
  <c r="V118" i="2"/>
  <c r="T118" i="2"/>
  <c r="M118" i="2"/>
  <c r="L118" i="2"/>
  <c r="G8" i="3" s="1"/>
  <c r="M117" i="2"/>
  <c r="V117" i="2" s="1"/>
  <c r="L117" i="2"/>
  <c r="T117" i="2" s="1"/>
  <c r="V116" i="2"/>
  <c r="T116" i="2"/>
  <c r="M116" i="2"/>
  <c r="L116" i="2"/>
  <c r="M115" i="2"/>
  <c r="V115" i="2" s="1"/>
  <c r="L115" i="2"/>
  <c r="T114" i="2"/>
  <c r="M114" i="2"/>
  <c r="V114" i="2" s="1"/>
  <c r="L114" i="2"/>
  <c r="M113" i="2"/>
  <c r="V113" i="2" s="1"/>
  <c r="L113" i="2"/>
  <c r="T113" i="2" s="1"/>
  <c r="V112" i="2"/>
  <c r="M112" i="2"/>
  <c r="L112" i="2"/>
  <c r="T112" i="2" s="1"/>
  <c r="V111" i="2"/>
  <c r="M111" i="2"/>
  <c r="L111" i="2"/>
  <c r="T111" i="2" s="1"/>
  <c r="V110" i="2"/>
  <c r="T110" i="2"/>
  <c r="M110" i="2"/>
  <c r="L110" i="2"/>
  <c r="V109" i="2"/>
  <c r="M109" i="2"/>
  <c r="L109" i="2"/>
  <c r="T109" i="2" s="1"/>
  <c r="T108" i="2"/>
  <c r="M108" i="2"/>
  <c r="V108" i="2" s="1"/>
  <c r="L108" i="2"/>
  <c r="M107" i="2"/>
  <c r="V107" i="2" s="1"/>
  <c r="L107" i="2"/>
  <c r="T107" i="2" s="1"/>
  <c r="M106" i="2"/>
  <c r="V106" i="2" s="1"/>
  <c r="L106" i="2"/>
  <c r="T106" i="2" s="1"/>
  <c r="M105" i="2"/>
  <c r="V105" i="2" s="1"/>
  <c r="L105" i="2"/>
  <c r="T105" i="2" s="1"/>
  <c r="V104" i="2"/>
  <c r="M104" i="2"/>
  <c r="L104" i="2"/>
  <c r="T104" i="2" s="1"/>
  <c r="V103" i="2"/>
  <c r="M103" i="2"/>
  <c r="L103" i="2"/>
  <c r="T103" i="2" s="1"/>
  <c r="V102" i="2"/>
  <c r="T102" i="2"/>
  <c r="M102" i="2"/>
  <c r="L102" i="2"/>
  <c r="M101" i="2"/>
  <c r="V101" i="2" s="1"/>
  <c r="L101" i="2"/>
  <c r="T101" i="2" s="1"/>
  <c r="V100" i="2"/>
  <c r="T100" i="2"/>
  <c r="M100" i="2"/>
  <c r="L100" i="2"/>
  <c r="M99" i="2"/>
  <c r="V99" i="2" s="1"/>
  <c r="L99" i="2"/>
  <c r="T99" i="2" s="1"/>
  <c r="T98" i="2"/>
  <c r="M98" i="2"/>
  <c r="V98" i="2" s="1"/>
  <c r="L98" i="2"/>
  <c r="M97" i="2"/>
  <c r="L97" i="2"/>
  <c r="V96" i="2"/>
  <c r="M96" i="2"/>
  <c r="L96" i="2"/>
  <c r="V95" i="2"/>
  <c r="M95" i="2"/>
  <c r="L95" i="2"/>
  <c r="T95" i="2" s="1"/>
  <c r="V94" i="2"/>
  <c r="T94" i="2"/>
  <c r="M94" i="2"/>
  <c r="L94" i="2"/>
  <c r="V93" i="2"/>
  <c r="M93" i="2"/>
  <c r="L93" i="2"/>
  <c r="T93" i="2" s="1"/>
  <c r="M92" i="2"/>
  <c r="L92" i="2"/>
  <c r="B5" i="1" s="1"/>
  <c r="E4" i="1" s="1"/>
  <c r="M91" i="2"/>
  <c r="V91" i="2" s="1"/>
  <c r="L91" i="2"/>
  <c r="G7" i="3" s="1"/>
  <c r="M90" i="2"/>
  <c r="V90" i="2" s="1"/>
  <c r="L90" i="2"/>
  <c r="T90" i="2" s="1"/>
  <c r="M89" i="2"/>
  <c r="V89" i="2" s="1"/>
  <c r="L89" i="2"/>
  <c r="T89" i="2" s="1"/>
  <c r="M88" i="2"/>
  <c r="L88" i="2"/>
  <c r="V87" i="2"/>
  <c r="M87" i="2"/>
  <c r="L87" i="2"/>
  <c r="T87" i="2" s="1"/>
  <c r="V86" i="2"/>
  <c r="T86" i="2"/>
  <c r="M86" i="2"/>
  <c r="L86" i="2"/>
  <c r="M85" i="2"/>
  <c r="V85" i="2" s="1"/>
  <c r="L85" i="2"/>
  <c r="T85" i="2" s="1"/>
  <c r="V84" i="2"/>
  <c r="T84" i="2"/>
  <c r="M84" i="2"/>
  <c r="L84" i="2"/>
  <c r="M83" i="2"/>
  <c r="V83" i="2" s="1"/>
  <c r="L83" i="2"/>
  <c r="T83" i="2" s="1"/>
  <c r="T82" i="2"/>
  <c r="M82" i="2"/>
  <c r="V82" i="2" s="1"/>
  <c r="L82" i="2"/>
  <c r="M81" i="2"/>
  <c r="L81" i="2"/>
  <c r="T81" i="2" s="1"/>
  <c r="V80" i="2"/>
  <c r="M80" i="2"/>
  <c r="L80" i="2"/>
  <c r="T80" i="2" s="1"/>
  <c r="V79" i="2"/>
  <c r="M79" i="2"/>
  <c r="L79" i="2"/>
  <c r="T79" i="2" s="1"/>
  <c r="V78" i="2"/>
  <c r="T78" i="2"/>
  <c r="M78" i="2"/>
  <c r="L78" i="2"/>
  <c r="V77" i="2"/>
  <c r="M77" i="2"/>
  <c r="L77" i="2"/>
  <c r="T77" i="2" s="1"/>
  <c r="T76" i="2"/>
  <c r="M76" i="2"/>
  <c r="V76" i="2" s="1"/>
  <c r="L76" i="2"/>
  <c r="M75" i="2"/>
  <c r="V75" i="2" s="1"/>
  <c r="L75" i="2"/>
  <c r="T75" i="2" s="1"/>
  <c r="M74" i="2"/>
  <c r="V74" i="2" s="1"/>
  <c r="L74" i="2"/>
  <c r="T74" i="2" s="1"/>
  <c r="M73" i="2"/>
  <c r="V73" i="2" s="1"/>
  <c r="L73" i="2"/>
  <c r="T73" i="2" s="1"/>
  <c r="M72" i="2"/>
  <c r="L72" i="2"/>
  <c r="V72" i="2" s="1"/>
  <c r="V71" i="2"/>
  <c r="M71" i="2"/>
  <c r="L71" i="2"/>
  <c r="T71" i="2" s="1"/>
  <c r="V70" i="2"/>
  <c r="T70" i="2"/>
  <c r="M70" i="2"/>
  <c r="L70" i="2"/>
  <c r="M69" i="2"/>
  <c r="V69" i="2" s="1"/>
  <c r="L69" i="2"/>
  <c r="T69" i="2" s="1"/>
  <c r="V68" i="2"/>
  <c r="T68" i="2"/>
  <c r="M68" i="2"/>
  <c r="L68" i="2"/>
  <c r="M67" i="2"/>
  <c r="V67" i="2" s="1"/>
  <c r="L67" i="2"/>
  <c r="T67" i="2" s="1"/>
  <c r="T66" i="2"/>
  <c r="M66" i="2"/>
  <c r="V66" i="2" s="1"/>
  <c r="L66" i="2"/>
  <c r="M65" i="2"/>
  <c r="L65" i="2"/>
  <c r="V64" i="2"/>
  <c r="M64" i="2"/>
  <c r="L64" i="2"/>
  <c r="T64" i="2" s="1"/>
  <c r="V63" i="2"/>
  <c r="M63" i="2"/>
  <c r="L63" i="2"/>
  <c r="T63" i="2" s="1"/>
  <c r="V62" i="2"/>
  <c r="T62" i="2"/>
  <c r="M62" i="2"/>
  <c r="L62" i="2"/>
  <c r="V61" i="2"/>
  <c r="M61" i="2"/>
  <c r="L61" i="2"/>
  <c r="T61" i="2" s="1"/>
  <c r="T60" i="2"/>
  <c r="M60" i="2"/>
  <c r="V60" i="2" s="1"/>
  <c r="L60" i="2"/>
  <c r="M59" i="2"/>
  <c r="V59" i="2" s="1"/>
  <c r="L59" i="2"/>
  <c r="T59" i="2" s="1"/>
  <c r="M58" i="2"/>
  <c r="V58" i="2" s="1"/>
  <c r="L58" i="2"/>
  <c r="B8" i="1" s="1"/>
  <c r="E5" i="1" s="1"/>
  <c r="M57" i="2"/>
  <c r="V57" i="2" s="1"/>
  <c r="L57" i="2"/>
  <c r="T57" i="2" s="1"/>
  <c r="M56" i="2"/>
  <c r="L56" i="2"/>
  <c r="V56" i="2" s="1"/>
  <c r="V55" i="2"/>
  <c r="M55" i="2"/>
  <c r="L55" i="2"/>
  <c r="F5" i="3" s="1"/>
  <c r="V54" i="2"/>
  <c r="T54" i="2"/>
  <c r="M54" i="2"/>
  <c r="L54" i="2"/>
  <c r="M53" i="2"/>
  <c r="B12" i="1" s="1"/>
  <c r="L53" i="2"/>
  <c r="T53" i="2" s="1"/>
  <c r="V52" i="2"/>
  <c r="T52" i="2"/>
  <c r="M52" i="2"/>
  <c r="L52" i="2"/>
  <c r="J21" i="3" s="1"/>
  <c r="M51" i="2"/>
  <c r="V51" i="2" s="1"/>
  <c r="L51" i="2"/>
  <c r="T51" i="2" s="1"/>
  <c r="T50" i="2"/>
  <c r="M50" i="2"/>
  <c r="V50" i="2" s="1"/>
  <c r="L50" i="2"/>
  <c r="M49" i="2"/>
  <c r="L49" i="2"/>
  <c r="T49" i="2" s="1"/>
  <c r="V48" i="2"/>
  <c r="M48" i="2"/>
  <c r="L48" i="2"/>
  <c r="M47" i="2"/>
  <c r="L47" i="2"/>
  <c r="V47" i="2" s="1"/>
  <c r="V46" i="2"/>
  <c r="M46" i="2"/>
  <c r="L46" i="2"/>
  <c r="T46" i="2" s="1"/>
  <c r="M45" i="2"/>
  <c r="L45" i="2"/>
  <c r="V45" i="2" s="1"/>
  <c r="V44" i="2"/>
  <c r="M44" i="2"/>
  <c r="L44" i="2"/>
  <c r="T44" i="2" s="1"/>
  <c r="M43" i="2"/>
  <c r="L43" i="2"/>
  <c r="V43" i="2" s="1"/>
  <c r="V42" i="2"/>
  <c r="M42" i="2"/>
  <c r="L42" i="2"/>
  <c r="T42" i="2" s="1"/>
  <c r="M41" i="2"/>
  <c r="L41" i="2"/>
  <c r="V41" i="2" s="1"/>
  <c r="V40" i="2"/>
  <c r="M40" i="2"/>
  <c r="L40" i="2"/>
  <c r="T40" i="2" s="1"/>
  <c r="M39" i="2"/>
  <c r="L39" i="2"/>
  <c r="V39" i="2" s="1"/>
  <c r="V38" i="2"/>
  <c r="M38" i="2"/>
  <c r="L38" i="2"/>
  <c r="T38" i="2" s="1"/>
  <c r="M37" i="2"/>
  <c r="L37" i="2"/>
  <c r="V37" i="2" s="1"/>
  <c r="V36" i="2"/>
  <c r="M36" i="2"/>
  <c r="L36" i="2"/>
  <c r="T36" i="2" s="1"/>
  <c r="M35" i="2"/>
  <c r="L35" i="2"/>
  <c r="V35" i="2" s="1"/>
  <c r="V34" i="2"/>
  <c r="M34" i="2"/>
  <c r="L34" i="2"/>
  <c r="T34" i="2" s="1"/>
  <c r="M33" i="2"/>
  <c r="L33" i="2"/>
  <c r="V33" i="2" s="1"/>
  <c r="V32" i="2"/>
  <c r="M32" i="2"/>
  <c r="L32" i="2"/>
  <c r="T32" i="2" s="1"/>
  <c r="M31" i="2"/>
  <c r="L31" i="2"/>
  <c r="V31" i="2" s="1"/>
  <c r="V30" i="2"/>
  <c r="M30" i="2"/>
  <c r="L30" i="2"/>
  <c r="T30" i="2" s="1"/>
  <c r="M29" i="2"/>
  <c r="L29" i="2"/>
  <c r="V29" i="2" s="1"/>
  <c r="V28" i="2"/>
  <c r="M28" i="2"/>
  <c r="L28" i="2"/>
  <c r="T28" i="2" s="1"/>
  <c r="M27" i="2"/>
  <c r="L27" i="2"/>
  <c r="V27" i="2" s="1"/>
  <c r="V26" i="2"/>
  <c r="M26" i="2"/>
  <c r="L26" i="2"/>
  <c r="E5" i="3" s="1"/>
  <c r="M25" i="2"/>
  <c r="L25" i="2"/>
  <c r="V25" i="2" s="1"/>
  <c r="V24" i="2"/>
  <c r="M24" i="2"/>
  <c r="L24" i="2"/>
  <c r="T24" i="2" s="1"/>
  <c r="M23" i="2"/>
  <c r="L23" i="2"/>
  <c r="V23" i="2" s="1"/>
  <c r="V22" i="2"/>
  <c r="M22" i="2"/>
  <c r="L22" i="2"/>
  <c r="T22" i="2" s="1"/>
  <c r="M21" i="2"/>
  <c r="L21" i="2"/>
  <c r="V21" i="2" s="1"/>
  <c r="V20" i="2"/>
  <c r="M20" i="2"/>
  <c r="L20" i="2"/>
  <c r="T20" i="2" s="1"/>
  <c r="M19" i="2"/>
  <c r="L19" i="2"/>
  <c r="V19" i="2" s="1"/>
  <c r="V18" i="2"/>
  <c r="M18" i="2"/>
  <c r="L18" i="2"/>
  <c r="T18" i="2" s="1"/>
  <c r="M17" i="2"/>
  <c r="L17" i="2"/>
  <c r="V17" i="2" s="1"/>
  <c r="V16" i="2"/>
  <c r="M16" i="2"/>
  <c r="L16" i="2"/>
  <c r="T16" i="2" s="1"/>
  <c r="M15" i="2"/>
  <c r="L15" i="2"/>
  <c r="V15" i="2" s="1"/>
  <c r="V14" i="2"/>
  <c r="M14" i="2"/>
  <c r="L14" i="2"/>
  <c r="T14" i="2" s="1"/>
  <c r="M13" i="2"/>
  <c r="L13" i="2"/>
  <c r="V13" i="2" s="1"/>
  <c r="V12" i="2"/>
  <c r="M12" i="2"/>
  <c r="L12" i="2"/>
  <c r="T12" i="2" s="1"/>
  <c r="M11" i="2"/>
  <c r="L11" i="2"/>
  <c r="V11" i="2" s="1"/>
  <c r="V10" i="2"/>
  <c r="M10" i="2"/>
  <c r="L10" i="2"/>
  <c r="T10" i="2" s="1"/>
  <c r="M9" i="2"/>
  <c r="L9" i="2"/>
  <c r="V9" i="2" s="1"/>
  <c r="V8" i="2"/>
  <c r="M8" i="2"/>
  <c r="L8" i="2"/>
  <c r="T8" i="2" s="1"/>
  <c r="M7" i="2"/>
  <c r="L7" i="2"/>
  <c r="V7" i="2" s="1"/>
  <c r="V6" i="2"/>
  <c r="M6" i="2"/>
  <c r="L6" i="2"/>
  <c r="G4" i="3" s="1"/>
  <c r="M5" i="2"/>
  <c r="L5" i="2"/>
  <c r="V5" i="2" s="1"/>
  <c r="V4" i="2"/>
  <c r="M4" i="2"/>
  <c r="L4" i="2"/>
  <c r="T4" i="2" s="1"/>
  <c r="M3" i="2"/>
  <c r="L3" i="2"/>
  <c r="V3" i="2" s="1"/>
  <c r="V2" i="2"/>
  <c r="M2" i="2"/>
  <c r="L2" i="2"/>
  <c r="J4" i="3" s="1"/>
  <c r="E31" i="1"/>
  <c r="E30" i="1"/>
  <c r="E29" i="1"/>
  <c r="E28" i="1"/>
  <c r="B14" i="1"/>
  <c r="B13" i="1"/>
  <c r="B11" i="1"/>
  <c r="E12" i="1" s="1"/>
  <c r="E7" i="1"/>
  <c r="B10" i="1" l="1"/>
  <c r="E11" i="1" s="1"/>
  <c r="T92" i="2"/>
  <c r="V92" i="2"/>
  <c r="T115" i="2"/>
  <c r="D8" i="3"/>
  <c r="K5" i="3"/>
  <c r="E8" i="3"/>
  <c r="C9" i="3"/>
  <c r="E26" i="1" s="1"/>
  <c r="J26" i="3"/>
  <c r="B6" i="1"/>
  <c r="E16" i="1" s="1"/>
  <c r="V53" i="2"/>
  <c r="T65" i="2"/>
  <c r="D6" i="3"/>
  <c r="F6" i="3"/>
  <c r="K31" i="3"/>
  <c r="T97" i="2"/>
  <c r="K23" i="3"/>
  <c r="J27" i="3"/>
  <c r="T129" i="2"/>
  <c r="J9" i="3"/>
  <c r="J29" i="3"/>
  <c r="J20" i="3"/>
  <c r="T177" i="2"/>
  <c r="M20" i="3" s="1"/>
  <c r="C5" i="3"/>
  <c r="E22" i="1" s="1"/>
  <c r="J6" i="3"/>
  <c r="C19" i="3"/>
  <c r="T58" i="2"/>
  <c r="K32" i="3"/>
  <c r="J32" i="3"/>
  <c r="J10" i="3"/>
  <c r="D10" i="3"/>
  <c r="D5" i="3"/>
  <c r="K6" i="3"/>
  <c r="F9" i="3"/>
  <c r="E10" i="3"/>
  <c r="B7" i="1"/>
  <c r="E17" i="1" s="1"/>
  <c r="T3" i="2"/>
  <c r="T5" i="2"/>
  <c r="T7" i="2"/>
  <c r="T9" i="2"/>
  <c r="T11" i="2"/>
  <c r="T13" i="2"/>
  <c r="T15" i="2"/>
  <c r="T17" i="2"/>
  <c r="T19" i="2"/>
  <c r="T21" i="2"/>
  <c r="T23" i="2"/>
  <c r="T25" i="2"/>
  <c r="T27" i="2"/>
  <c r="T29" i="2"/>
  <c r="T31" i="2"/>
  <c r="T33" i="2"/>
  <c r="T35" i="2"/>
  <c r="T37" i="2"/>
  <c r="T39" i="2"/>
  <c r="T41" i="2"/>
  <c r="T43" i="2"/>
  <c r="T45" i="2"/>
  <c r="T47" i="2"/>
  <c r="V49" i="2"/>
  <c r="B16" i="1" s="1"/>
  <c r="T56" i="2"/>
  <c r="V65" i="2"/>
  <c r="T72" i="2"/>
  <c r="V81" i="2"/>
  <c r="T88" i="2"/>
  <c r="V97" i="2"/>
  <c r="J24" i="3"/>
  <c r="T120" i="2"/>
  <c r="I8" i="3"/>
  <c r="J33" i="3"/>
  <c r="C22" i="3"/>
  <c r="T136" i="2"/>
  <c r="T152" i="2"/>
  <c r="T168" i="2"/>
  <c r="T184" i="2"/>
  <c r="J8" i="3"/>
  <c r="G9" i="3"/>
  <c r="K22" i="3"/>
  <c r="K24" i="3"/>
  <c r="M32" i="3"/>
  <c r="V88" i="2"/>
  <c r="J7" i="3"/>
  <c r="T91" i="2"/>
  <c r="F8" i="3"/>
  <c r="K19" i="3"/>
  <c r="V152" i="2"/>
  <c r="T171" i="2"/>
  <c r="M28" i="3" s="1"/>
  <c r="J28" i="3"/>
  <c r="C6" i="3"/>
  <c r="E23" i="1" s="1"/>
  <c r="K7" i="3"/>
  <c r="K34" i="3"/>
  <c r="J34" i="3"/>
  <c r="D4" i="3"/>
  <c r="C20" i="3"/>
  <c r="J5" i="3"/>
  <c r="J31" i="3"/>
  <c r="J23" i="3"/>
  <c r="M24" i="3"/>
  <c r="M33" i="3"/>
  <c r="E9" i="3"/>
  <c r="T153" i="2"/>
  <c r="K29" i="3"/>
  <c r="I10" i="3"/>
  <c r="J25" i="3"/>
  <c r="T185" i="2"/>
  <c r="M25" i="3" s="1"/>
  <c r="J30" i="3"/>
  <c r="G5" i="3"/>
  <c r="E6" i="3"/>
  <c r="I9" i="3"/>
  <c r="B4" i="1"/>
  <c r="B9" i="1"/>
  <c r="E6" i="1" s="1"/>
  <c r="K21" i="3"/>
  <c r="T55" i="2"/>
  <c r="M21" i="3" s="1"/>
  <c r="T119" i="2"/>
  <c r="M19" i="3" s="1"/>
  <c r="J19" i="3"/>
  <c r="J22" i="3"/>
  <c r="F10" i="3"/>
  <c r="T183" i="2"/>
  <c r="M22" i="3" s="1"/>
  <c r="C4" i="3"/>
  <c r="E21" i="1" s="1"/>
  <c r="G6" i="3"/>
  <c r="C7" i="3"/>
  <c r="E24" i="1" s="1"/>
  <c r="K9" i="3"/>
  <c r="K27" i="3"/>
  <c r="T2" i="2"/>
  <c r="T6" i="2"/>
  <c r="T26" i="2"/>
  <c r="T48" i="2"/>
  <c r="M31" i="3" s="1"/>
  <c r="E7" i="3"/>
  <c r="T96" i="2"/>
  <c r="T192" i="2"/>
  <c r="M30" i="3" s="1"/>
  <c r="E4" i="3"/>
  <c r="D7" i="3"/>
  <c r="C8" i="3"/>
  <c r="E25" i="1" s="1"/>
  <c r="M5" i="3" l="1"/>
  <c r="M6" i="3"/>
  <c r="M8" i="3"/>
  <c r="M34" i="3"/>
  <c r="M4" i="3"/>
  <c r="B15" i="1"/>
  <c r="D19" i="3"/>
  <c r="D22" i="3"/>
  <c r="M7" i="3"/>
  <c r="M27" i="3"/>
  <c r="M23" i="3"/>
  <c r="D20" i="3"/>
  <c r="M9" i="3"/>
  <c r="M29" i="3"/>
  <c r="M10" i="3"/>
</calcChain>
</file>

<file path=xl/sharedStrings.xml><?xml version="1.0" encoding="utf-8"?>
<sst xmlns="http://schemas.openxmlformats.org/spreadsheetml/2006/main" count="1912" uniqueCount="238">
  <si>
    <t>Datum</t>
  </si>
  <si>
    <t>Evidence</t>
  </si>
  <si>
    <t>Imatrikulace</t>
  </si>
  <si>
    <t>Typ</t>
  </si>
  <si>
    <t>Třída</t>
  </si>
  <si>
    <t>Odlet</t>
  </si>
  <si>
    <t>Přílet</t>
  </si>
  <si>
    <t>Off Block</t>
  </si>
  <si>
    <t>Takeoff</t>
  </si>
  <si>
    <t>Landing</t>
  </si>
  <si>
    <t>On Block</t>
  </si>
  <si>
    <t>Block Time</t>
  </si>
  <si>
    <t>Air Time</t>
  </si>
  <si>
    <t>Starty</t>
  </si>
  <si>
    <t>Velitel letadla</t>
  </si>
  <si>
    <t>Instruktor</t>
  </si>
  <si>
    <t>Funkce</t>
  </si>
  <si>
    <t>Úloha</t>
  </si>
  <si>
    <t>Cena Kč/h</t>
  </si>
  <si>
    <t>Cena letu Kč</t>
  </si>
  <si>
    <t>Poznámka</t>
  </si>
  <si>
    <t>Kontrola</t>
  </si>
  <si>
    <t>ULL</t>
  </si>
  <si>
    <t>OK-XAI04</t>
  </si>
  <si>
    <t>Bristell</t>
  </si>
  <si>
    <t>LKSZ</t>
  </si>
  <si>
    <t>Točík Filip</t>
  </si>
  <si>
    <t>PIC</t>
  </si>
  <si>
    <t>LKKEJZ</t>
  </si>
  <si>
    <t>LKSZ-LKKEJZ</t>
  </si>
  <si>
    <t>LKKEJZ-LKSZ</t>
  </si>
  <si>
    <t>Šindelář Petr</t>
  </si>
  <si>
    <t>DUAL</t>
  </si>
  <si>
    <t>Šimon Jan</t>
  </si>
  <si>
    <t>LKMH</t>
  </si>
  <si>
    <t>LKSZ-LKMH</t>
  </si>
  <si>
    <t>LKMH-LKSZ</t>
  </si>
  <si>
    <t>Vyhnal Libor</t>
  </si>
  <si>
    <t>LKMO</t>
  </si>
  <si>
    <t>LKSZ-LKMO</t>
  </si>
  <si>
    <t>LKMO-LKSZ</t>
  </si>
  <si>
    <t>LKCHRI</t>
  </si>
  <si>
    <t>LKSZ-LKCHRI</t>
  </si>
  <si>
    <t>LKCHRI-LKSZ</t>
  </si>
  <si>
    <t>LKSZ-LKHD-LKSZ</t>
  </si>
  <si>
    <t>LKDK</t>
  </si>
  <si>
    <t>LKSZ-EDMU-LOWL-LKSZ</t>
  </si>
  <si>
    <t>LKSZ-LKTC-LKSZ</t>
  </si>
  <si>
    <t>EASA</t>
  </si>
  <si>
    <t>OK-IAF</t>
  </si>
  <si>
    <t>P208</t>
  </si>
  <si>
    <t>SEP</t>
  </si>
  <si>
    <t>Doubek Petr</t>
  </si>
  <si>
    <t>PLZ DTO 082</t>
  </si>
  <si>
    <t>10A, 11, 12/13</t>
  </si>
  <si>
    <t>OK-BIK</t>
  </si>
  <si>
    <t>12/13, 12/13E</t>
  </si>
  <si>
    <t>14/P, 14/K</t>
  </si>
  <si>
    <t>14-1</t>
  </si>
  <si>
    <t>výcvik</t>
  </si>
  <si>
    <t>LKSN</t>
  </si>
  <si>
    <t>15-1</t>
  </si>
  <si>
    <t>LKRK</t>
  </si>
  <si>
    <t>LOWZ</t>
  </si>
  <si>
    <t>LKSZ-LOWZ</t>
  </si>
  <si>
    <t>LOWZ-LKSZ</t>
  </si>
  <si>
    <t>LKSZ-LKMB-LKSZ</t>
  </si>
  <si>
    <t>LKSZ-LKBE-LKSZ</t>
  </si>
  <si>
    <t>LKCB</t>
  </si>
  <si>
    <t>18A-1</t>
  </si>
  <si>
    <t>OK-UUR14</t>
  </si>
  <si>
    <t>LKSZ-EDNY-LOWR-LKSZ</t>
  </si>
  <si>
    <t>LKSZ-LKNM-LKSZ</t>
  </si>
  <si>
    <t>LKSZ-LKLOCH-LKSZ</t>
  </si>
  <si>
    <t>LJBO</t>
  </si>
  <si>
    <t>LKSZ-LJBO</t>
  </si>
  <si>
    <t>LJBO-LKSZ</t>
  </si>
  <si>
    <t>18a-2</t>
  </si>
  <si>
    <t>18a-3</t>
  </si>
  <si>
    <t>OK-BUG12</t>
  </si>
  <si>
    <t>P92 Echo</t>
  </si>
  <si>
    <t>LOWI</t>
  </si>
  <si>
    <t>OK-CUG23</t>
  </si>
  <si>
    <t>LKCV</t>
  </si>
  <si>
    <t>LKSZ-Rabí-LKSZ</t>
  </si>
  <si>
    <t>LIPV</t>
  </si>
  <si>
    <t>LKSZ-LKPV</t>
  </si>
  <si>
    <t>LDSB</t>
  </si>
  <si>
    <t>LKPV-LDSB</t>
  </si>
  <si>
    <t>LDSB-LDSB</t>
  </si>
  <si>
    <t>LJMB</t>
  </si>
  <si>
    <t>LDSB-LJMB</t>
  </si>
  <si>
    <t>LJMB-LKSZ</t>
  </si>
  <si>
    <t>LKSZ-LKLB-LKSZ</t>
  </si>
  <si>
    <t>LKSZ-EDMV-LKSZ</t>
  </si>
  <si>
    <t>OK-BIC</t>
  </si>
  <si>
    <t>Podskalský Zdeněk</t>
  </si>
  <si>
    <t>12/13E</t>
  </si>
  <si>
    <t>LKPC</t>
  </si>
  <si>
    <t>18A-4</t>
  </si>
  <si>
    <t>LKSZ-LKPS-LKLT-LKSZ</t>
  </si>
  <si>
    <t>18B</t>
  </si>
  <si>
    <t>18c/19</t>
  </si>
  <si>
    <t>OK-DUI89</t>
  </si>
  <si>
    <t>OK-WUS17</t>
  </si>
  <si>
    <t>WT9</t>
  </si>
  <si>
    <t>LKSEBO</t>
  </si>
  <si>
    <t>Matyáš Perner</t>
  </si>
  <si>
    <t>SAFETY PILOT</t>
  </si>
  <si>
    <t>MEDULIN</t>
  </si>
  <si>
    <t>LKSZ-Medulin</t>
  </si>
  <si>
    <t>Medulin-LKSZ</t>
  </si>
  <si>
    <t>SAN MARINO</t>
  </si>
  <si>
    <t>Medulin-LIKD</t>
  </si>
  <si>
    <t>LJBL</t>
  </si>
  <si>
    <t>LIKD-LJBL</t>
  </si>
  <si>
    <t>LJBL-LKSZ</t>
  </si>
  <si>
    <t>LKPS</t>
  </si>
  <si>
    <t>LKSZ-LKPS</t>
  </si>
  <si>
    <t>LKPS-LKSZ</t>
  </si>
  <si>
    <t>LKJC</t>
  </si>
  <si>
    <t>LKSZ-LKJC</t>
  </si>
  <si>
    <t>LKJC-LKSZ</t>
  </si>
  <si>
    <t>ZD</t>
  </si>
  <si>
    <t>OK-EUI10</t>
  </si>
  <si>
    <t>Bagar Radim</t>
  </si>
  <si>
    <t>přeškolení</t>
  </si>
  <si>
    <t>EDNY</t>
  </si>
  <si>
    <t>LKSZ-EDNY</t>
  </si>
  <si>
    <t>LIPB</t>
  </si>
  <si>
    <t>EDNY-LIPB</t>
  </si>
  <si>
    <t>LIPB-LIPB</t>
  </si>
  <si>
    <t>LIPB-LOWZ</t>
  </si>
  <si>
    <t>EDAZ</t>
  </si>
  <si>
    <t>LKSZ-EDAZ</t>
  </si>
  <si>
    <t>EDAZ-LKSZ</t>
  </si>
  <si>
    <t>LKSZ-LKKEJZ-LKBE-LKSZ</t>
  </si>
  <si>
    <t>LDSH</t>
  </si>
  <si>
    <t>OK-DUI94</t>
  </si>
  <si>
    <t>LKLN</t>
  </si>
  <si>
    <t>LOGM</t>
  </si>
  <si>
    <t>Veronika Kehlová</t>
  </si>
  <si>
    <t>LOGK</t>
  </si>
  <si>
    <t>LOLG</t>
  </si>
  <si>
    <t>LKSZ-LKKEJZ-LKSZ</t>
  </si>
  <si>
    <t>OK-BID</t>
  </si>
  <si>
    <t>B23</t>
  </si>
  <si>
    <t>Výcvik</t>
  </si>
  <si>
    <t>OK-DPH</t>
  </si>
  <si>
    <t>LOLO</t>
  </si>
  <si>
    <t>OK-BIN</t>
  </si>
  <si>
    <t>VFR</t>
  </si>
  <si>
    <t>OK-DAS</t>
  </si>
  <si>
    <t>B23T</t>
  </si>
  <si>
    <t>LKER</t>
  </si>
  <si>
    <t>LDPM</t>
  </si>
  <si>
    <t>OK-EUI21</t>
  </si>
  <si>
    <t>LKKAPL</t>
  </si>
  <si>
    <t>Od data</t>
  </si>
  <si>
    <t>Suchá hodina Kč/h</t>
  </si>
  <si>
    <t>Zdroj</t>
  </si>
  <si>
    <t>3344</t>
  </si>
  <si>
    <t>Twin Astir</t>
  </si>
  <si>
    <t>22.7.2024</t>
  </si>
  <si>
    <t>Ceník screenshot</t>
  </si>
  <si>
    <t>5194</t>
  </si>
  <si>
    <t>DG100</t>
  </si>
  <si>
    <t>1.1.2024</t>
  </si>
  <si>
    <t>6606</t>
  </si>
  <si>
    <t>Astir</t>
  </si>
  <si>
    <t>7430</t>
  </si>
  <si>
    <t>8115</t>
  </si>
  <si>
    <t>L13SW</t>
  </si>
  <si>
    <t>14.3.2026</t>
  </si>
  <si>
    <t>8205</t>
  </si>
  <si>
    <t>L23</t>
  </si>
  <si>
    <t>8441</t>
  </si>
  <si>
    <t>L33</t>
  </si>
  <si>
    <t>2025</t>
  </si>
  <si>
    <t>Doplněno podle exportu ceny letu</t>
  </si>
  <si>
    <t>2021</t>
  </si>
  <si>
    <t>OK-BIL</t>
  </si>
  <si>
    <t>1.9.2025</t>
  </si>
  <si>
    <t>OK-BIR</t>
  </si>
  <si>
    <t>1.5.2025</t>
  </si>
  <si>
    <t>2023</t>
  </si>
  <si>
    <t>1.4.2025</t>
  </si>
  <si>
    <t>OK-DOD</t>
  </si>
  <si>
    <t>Z43</t>
  </si>
  <si>
    <t>20.3.2025</t>
  </si>
  <si>
    <t>OK-MPK</t>
  </si>
  <si>
    <t>Z226</t>
  </si>
  <si>
    <t>16.3.2024</t>
  </si>
  <si>
    <t>OK-NUU90</t>
  </si>
  <si>
    <t>WT-9</t>
  </si>
  <si>
    <t>2020–2022</t>
  </si>
  <si>
    <t>Zdroje a metodika</t>
  </si>
  <si>
    <t>Databázové lety</t>
  </si>
  <si>
    <t>Exporty časomíry AK 2020–2026 + ručně doplněné záznamy v tomto souboru.</t>
  </si>
  <si>
    <t>Typ letadla</t>
  </si>
  <si>
    <t>Tecnam je v zápisníku veden jako ICAO typ P208.</t>
  </si>
  <si>
    <t>Celkový nálet</t>
  </si>
  <si>
    <t>Součet Block Time všech evidovaných letů bez ohledu na funkci.</t>
  </si>
  <si>
    <t>PIC nálet</t>
  </si>
  <si>
    <t>Součet Block Time pouze pro funkci PIC; na dashboardu je rozdělen na ULL a EASA.</t>
  </si>
  <si>
    <t>Výcvikový let s instruktorem. Student se samostatně nepoužívá.</t>
  </si>
  <si>
    <t>Náklady</t>
  </si>
  <si>
    <t>Cena letu = Block Time × Cena Kč/h. Náklady se počítají ze všech evidovaných letů.</t>
  </si>
  <si>
    <t>TMG</t>
  </si>
  <si>
    <t>INSTRUKTOR</t>
  </si>
  <si>
    <t>MEP</t>
  </si>
  <si>
    <t>SET</t>
  </si>
  <si>
    <t>CO-PILOT</t>
  </si>
  <si>
    <t>OTHER</t>
  </si>
  <si>
    <t>PAX</t>
  </si>
  <si>
    <t>GLIDER</t>
  </si>
  <si>
    <t>OBSERVER</t>
  </si>
  <si>
    <t>Elektronický zápisník letů</t>
  </si>
  <si>
    <t>Metrika</t>
  </si>
  <si>
    <t>Hodnota</t>
  </si>
  <si>
    <t>Hodin</t>
  </si>
  <si>
    <t>PIC celkem</t>
  </si>
  <si>
    <t>PIC ULL</t>
  </si>
  <si>
    <t>Safety Pilot</t>
  </si>
  <si>
    <t>PIC EASA</t>
  </si>
  <si>
    <t>Ostatní</t>
  </si>
  <si>
    <t>ULL celkem</t>
  </si>
  <si>
    <t>EASA celkem</t>
  </si>
  <si>
    <t>Počet letů</t>
  </si>
  <si>
    <t>Počet startů</t>
  </si>
  <si>
    <t>Náklady celkem</t>
  </si>
  <si>
    <t>PIC evidence</t>
  </si>
  <si>
    <t>Rok</t>
  </si>
  <si>
    <t>Souhrny</t>
  </si>
  <si>
    <t>Letů</t>
  </si>
  <si>
    <t>Celkem</t>
  </si>
  <si>
    <t>Náklady Kč</t>
  </si>
  <si>
    <t>Block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</si>
</sst>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&quot;Kč&quot;"/>
    <numFmt numFmtId="165" formatCode="[h]:mm"/>
    <numFmt numFmtId="166" formatCode="0.0"/>
    <numFmt numFmtId="167" formatCode="[$-F400]h:mm:ss\ AM/PM"/>
    <numFmt numFmtId="169" formatCode="dd\.mm\.yyyy"/>
    <numFmt numFmtId="170" formatCode="hh:mm"/>
    <numFmt numFmtId="171" formatCode="#,##0\ &quot;Kč/h&quot;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b/>
      <sz val="16"/>
      <color rgb="FF1F4E7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wrapText="1"/>
    </xf>
    <xf numFmtId="169" fontId="0" fillId="0" borderId="0" xfId="0" applyNumberFormat="1"/>
    <xf numFmtId="49" fontId="0" fillId="0" borderId="0" xfId="0" applyNumberFormat="1" applyAlignment="1">
      <alignment horizontal="right"/>
    </xf>
    <xf numFmtId="0" fontId="4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6" fontId="0" fillId="0" borderId="0" xfId="0" applyNumberFormat="1" applyAlignment="1">
      <alignment vertical="center"/>
    </xf>
    <xf numFmtId="166" fontId="1" fillId="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67" fontId="1" fillId="3" borderId="0" xfId="0" applyNumberFormat="1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70" fontId="0" fillId="0" borderId="0" xfId="0" applyNumberFormat="1"/>
    <xf numFmtId="1" fontId="0" fillId="0" borderId="0" xfId="0" applyNumberFormat="1"/>
    <xf numFmtId="171" fontId="0" fillId="0" borderId="0" xfId="0" applyNumberFormat="1"/>
    <xf numFmtId="164" fontId="0" fillId="0" borderId="0" xfId="0" applyNumberFormat="1"/>
    <xf numFmtId="0" fontId="1" fillId="3" borderId="0" xfId="0" applyFont="1" applyFill="1" applyAlignment="1">
      <alignment horizontal="center" wrapText="1"/>
    </xf>
    <xf numFmtId="164" fontId="1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11">
    <dxf>
      <font>
        <b/>
        <color rgb="FF9C0006"/>
      </font>
      <fill>
        <patternFill patternType="solid">
          <bgColor rgb="FFFCE4D6"/>
        </patternFill>
      </fill>
    </dxf>
    <dxf>
      <fill>
        <patternFill>
          <bgColor rgb="FFF4F0FF"/>
        </patternFill>
      </fill>
    </dxf>
    <dxf>
      <fill>
        <patternFill>
          <bgColor rgb="FFEAF4FF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numFmt numFmtId="167" formatCode="[$-F400]h:mm:ss\ AM/PM"/>
    </dxf>
    <dxf>
      <numFmt numFmtId="167" formatCode="[$-F400]h:mm:ss\ AM/PM"/>
    </dxf>
    <dxf>
      <numFmt numFmtId="167" formatCode="[$-F400]h:mm:ss\ AM/PM"/>
    </dxf>
    <dxf>
      <numFmt numFmtId="167" formatCode="[$-F400]h:mm:ss\ AM/PM"/>
    </dxf>
    <dxf>
      <numFmt numFmtId="167" formatCode="[$-F400]h:mm:ss\ AM/PM"/>
    </dxf>
    <dxf>
      <numFmt numFmtId="167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Nálet podle funkce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Hodin</c:v>
          </c:tx>
          <c:invertIfNegative val="1"/>
          <c:cat>
            <c:strRef>
              <c:f>Dashboard!$D$4:$D$7</c:f>
              <c:strCache>
                <c:ptCount val="4"/>
                <c:pt idx="0">
                  <c:v>PIC</c:v>
                </c:pt>
                <c:pt idx="1">
                  <c:v>DUAL</c:v>
                </c:pt>
                <c:pt idx="2">
                  <c:v>Safety Pilot</c:v>
                </c:pt>
                <c:pt idx="3">
                  <c:v>Ostatní</c:v>
                </c:pt>
              </c:strCache>
            </c:strRef>
          </c:cat>
          <c:val>
            <c:numRef>
              <c:f>Dashboard!$E$4:$E$7</c:f>
              <c:numCache>
                <c:formatCode>0.0</c:formatCode>
                <c:ptCount val="4"/>
                <c:pt idx="0">
                  <c:v>212.49999999999989</c:v>
                </c:pt>
                <c:pt idx="1">
                  <c:v>32.1</c:v>
                </c:pt>
                <c:pt idx="2">
                  <c:v>25.650000000000002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B-4019-A2B9-B3459B2E3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Celkem ULL / EASA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Hodin</c:v>
          </c:tx>
          <c:invertIfNegative val="1"/>
          <c:cat>
            <c:strRef>
              <c:f>Dashboard!$D$11:$D$12</c:f>
              <c:strCache>
                <c:ptCount val="2"/>
                <c:pt idx="0">
                  <c:v>ULL</c:v>
                </c:pt>
                <c:pt idx="1">
                  <c:v>EASA</c:v>
                </c:pt>
              </c:strCache>
            </c:strRef>
          </c:cat>
          <c:val>
            <c:numRef>
              <c:f>Dashboard!$E$11:$E$12</c:f>
              <c:numCache>
                <c:formatCode>0.0</c:formatCode>
                <c:ptCount val="2"/>
                <c:pt idx="0">
                  <c:v>223.84999999999991</c:v>
                </c:pt>
                <c:pt idx="1">
                  <c:v>46.400000000000013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4-4BF1-8036-1BC8D92FA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PIC ULL / EASA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Hodin</c:v>
          </c:tx>
          <c:invertIfNegative val="1"/>
          <c:cat>
            <c:strRef>
              <c:f>Dashboard!$D$16:$D$17</c:f>
              <c:strCache>
                <c:ptCount val="2"/>
                <c:pt idx="0">
                  <c:v>PIC ULL</c:v>
                </c:pt>
                <c:pt idx="1">
                  <c:v>PIC EASA</c:v>
                </c:pt>
              </c:strCache>
            </c:strRef>
          </c:cat>
          <c:val>
            <c:numRef>
              <c:f>Dashboard!$E$16:$E$17</c:f>
              <c:numCache>
                <c:formatCode>0.0</c:formatCode>
                <c:ptCount val="2"/>
                <c:pt idx="0">
                  <c:v>204.1999999999999</c:v>
                </c:pt>
                <c:pt idx="1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5-4C0D-AEE7-121D9976B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Nálet podle roku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Hodin</c:v>
          </c:tx>
          <c:marker>
            <c:symbol val="none"/>
          </c:marker>
          <c:cat>
            <c:numRef>
              <c:f>Dashboard!$D$21:$D$31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Dashboard!$E$21:$E$31</c:f>
              <c:numCache>
                <c:formatCode>0.0</c:formatCode>
                <c:ptCount val="11"/>
                <c:pt idx="0">
                  <c:v>23.900000000000009</c:v>
                </c:pt>
                <c:pt idx="1">
                  <c:v>43.383333333333333</c:v>
                </c:pt>
                <c:pt idx="2">
                  <c:v>47.633333333333326</c:v>
                </c:pt>
                <c:pt idx="3">
                  <c:v>39.033333333333331</c:v>
                </c:pt>
                <c:pt idx="4">
                  <c:v>48.183333333333337</c:v>
                </c:pt>
                <c:pt idx="5">
                  <c:v>46.73333333333332</c:v>
                </c:pt>
                <c:pt idx="6">
                  <c:v>21.383333333333336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96-499A-A9B0-12968B6E5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23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ogbookTable" displayName="LogbookTable" ref="A1:V1018" totalsRowShown="0">
  <tableColumns count="22">
    <tableColumn id="1" xr3:uid="{00000000-0010-0000-0000-000001000000}" name="Datum" dataDxfId="10"/>
    <tableColumn id="2" xr3:uid="{00000000-0010-0000-0000-000002000000}" name="Evidence"/>
    <tableColumn id="3" xr3:uid="{00000000-0010-0000-0000-000003000000}" name="Imatrikulace"/>
    <tableColumn id="4" xr3:uid="{00000000-0010-0000-0000-000004000000}" name="Typ"/>
    <tableColumn id="5" xr3:uid="{00000000-0010-0000-0000-000005000000}" name="Třída"/>
    <tableColumn id="6" xr3:uid="{00000000-0010-0000-0000-000006000000}" name="Odlet"/>
    <tableColumn id="7" xr3:uid="{00000000-0010-0000-0000-000007000000}" name="Přílet"/>
    <tableColumn id="8" xr3:uid="{00000000-0010-0000-0000-000008000000}" name="Off Block" dataDxfId="9"/>
    <tableColumn id="9" xr3:uid="{00000000-0010-0000-0000-000009000000}" name="Takeoff" dataDxfId="8"/>
    <tableColumn id="10" xr3:uid="{00000000-0010-0000-0000-00000A000000}" name="Landing" dataDxfId="7"/>
    <tableColumn id="11" xr3:uid="{00000000-0010-0000-0000-00000B000000}" name="On Block" dataDxfId="6"/>
    <tableColumn id="12" xr3:uid="{00000000-0010-0000-0000-00000C000000}" name="Block Time" dataDxfId="5"/>
    <tableColumn id="13" xr3:uid="{00000000-0010-0000-0000-00000D000000}" name="Air Time" dataDxfId="4"/>
    <tableColumn id="14" xr3:uid="{00000000-0010-0000-0000-00000E000000}" name="Starty"/>
    <tableColumn id="15" xr3:uid="{00000000-0010-0000-0000-00000F000000}" name="Velitel letadla"/>
    <tableColumn id="16" xr3:uid="{00000000-0010-0000-0000-000010000000}" name="Instruktor"/>
    <tableColumn id="17" xr3:uid="{00000000-0010-0000-0000-000011000000}" name="Funkce"/>
    <tableColumn id="18" xr3:uid="{00000000-0010-0000-0000-000012000000}" name="Úloha"/>
    <tableColumn id="19" xr3:uid="{00000000-0010-0000-0000-000013000000}" name="Cena Kč/h"/>
    <tableColumn id="20" xr3:uid="{00000000-0010-0000-0000-000014000000}" name="Cena letu Kč"/>
    <tableColumn id="21" xr3:uid="{00000000-0010-0000-0000-000015000000}" name="Poznámka"/>
    <tableColumn id="23" xr3:uid="{00000000-0010-0000-0000-000017000000}" name="Kontro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enikTable" displayName="CenikTable" ref="A1:F29" totalsRowShown="0">
  <tableColumns count="6">
    <tableColumn id="1" xr3:uid="{00000000-0010-0000-0100-000001000000}" name="Imatrikulace"/>
    <tableColumn id="2" xr3:uid="{00000000-0010-0000-0100-000002000000}" name="Typ"/>
    <tableColumn id="3" xr3:uid="{00000000-0010-0000-0100-000003000000}" name="Od data"/>
    <tableColumn id="4" xr3:uid="{00000000-0010-0000-0100-000004000000}" name="Cena Kč/h"/>
    <tableColumn id="5" xr3:uid="{00000000-0010-0000-0100-000005000000}" name="Suchá hodina Kč/h"/>
    <tableColumn id="6" xr3:uid="{00000000-0010-0000-0100-000006000000}" name="Zdroj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workbookViewId="0">
      <selection activeCell="E28" sqref="E28"/>
    </sheetView>
  </sheetViews>
  <sheetFormatPr defaultRowHeight="14.25"/>
  <cols>
    <col min="1" max="1" width="19" customWidth="1"/>
    <col min="2" max="2" width="16" customWidth="1"/>
    <col min="3" max="3" width="4" customWidth="1"/>
    <col min="4" max="4" width="16" customWidth="1"/>
    <col min="5" max="5" width="13" customWidth="1"/>
  </cols>
  <sheetData>
    <row r="1" spans="1:23" ht="20.25">
      <c r="A1" s="31" t="s">
        <v>217</v>
      </c>
      <c r="B1" s="31"/>
      <c r="C1" s="31"/>
      <c r="D1" s="31"/>
      <c r="E1" s="31"/>
      <c r="F1" s="3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>
      <c r="A2" s="10"/>
      <c r="B2" s="10"/>
      <c r="C2" s="10"/>
      <c r="D2" s="10"/>
      <c r="E2" s="10"/>
    </row>
    <row r="3" spans="1:23" ht="15">
      <c r="A3" s="11" t="s">
        <v>218</v>
      </c>
      <c r="B3" s="11" t="s">
        <v>219</v>
      </c>
      <c r="C3" s="12"/>
      <c r="D3" s="11" t="s">
        <v>16</v>
      </c>
      <c r="E3" s="11" t="s">
        <v>220</v>
      </c>
    </row>
    <row r="4" spans="1:23" ht="15">
      <c r="A4" s="13" t="s">
        <v>201</v>
      </c>
      <c r="B4" s="14">
        <f>SUM('Zápisník letů'!$L$2:$L$1018)</f>
        <v>11.260416666666668</v>
      </c>
      <c r="C4" s="15"/>
      <c r="D4" s="10" t="s">
        <v>27</v>
      </c>
      <c r="E4" s="16">
        <f>B5*24</f>
        <v>212.49999999999989</v>
      </c>
    </row>
    <row r="5" spans="1:23" ht="15">
      <c r="A5" s="13" t="s">
        <v>221</v>
      </c>
      <c r="B5" s="14">
        <f>SUMIFS('Zápisník letů'!$L$2:$L$1018,'Zápisník letů'!$Q$2:$Q$1018,"PIC")</f>
        <v>8.8541666666666625</v>
      </c>
      <c r="C5" s="15"/>
      <c r="D5" s="10" t="s">
        <v>32</v>
      </c>
      <c r="E5" s="16">
        <f>B8*24</f>
        <v>32.1</v>
      </c>
    </row>
    <row r="6" spans="1:23" ht="15">
      <c r="A6" s="13" t="s">
        <v>222</v>
      </c>
      <c r="B6" s="14">
        <f>SUMIFS('Zápisník letů'!$L$2:$L$1018,'Zápisník letů'!$Q$2:$Q$1018,"PIC",'Zápisník letů'!$B$2:$B$1018,"ULL")</f>
        <v>8.5083333333333293</v>
      </c>
      <c r="C6" s="15"/>
      <c r="D6" s="10" t="s">
        <v>223</v>
      </c>
      <c r="E6" s="16">
        <f>B9*24</f>
        <v>25.650000000000002</v>
      </c>
    </row>
    <row r="7" spans="1:23" ht="15">
      <c r="A7" s="13" t="s">
        <v>224</v>
      </c>
      <c r="B7" s="14">
        <f>SUMIFS('Zápisník letů'!$L$2:$L$1018,'Zápisník letů'!$Q$2:$Q$1018,"PIC",'Zápisník letů'!$B$2:$B$1018,"EASA")</f>
        <v>0.34583333333333338</v>
      </c>
      <c r="C7" s="15"/>
      <c r="D7" s="10" t="s">
        <v>225</v>
      </c>
      <c r="E7" s="16">
        <f>SUMIFS('Zápisník letů'!$L$2:$L$1018,'Zápisník letů'!$Q$2:$Q$1018,"CO-PILOT")*24+SUMIFS('Zápisník letů'!$L$2:$L$1018,'Zápisník letů'!$Q$2:$Q$1018,"PAX")*24+SUMIFS('Zápisník letů'!$L$2:$L$1018,'Zápisník letů'!$Q$2:$Q$1018,"OBSERVER")*24</f>
        <v>0</v>
      </c>
    </row>
    <row r="8" spans="1:23" ht="15">
      <c r="A8" s="13" t="s">
        <v>32</v>
      </c>
      <c r="B8" s="14">
        <f>SUMIFS('Zápisník letů'!$L$2:$L$1018,'Zápisník letů'!$Q$2:$Q$1018,"DUAL")</f>
        <v>1.3375000000000001</v>
      </c>
      <c r="C8" s="15"/>
      <c r="D8" s="10"/>
      <c r="E8" s="16"/>
    </row>
    <row r="9" spans="1:23" ht="15">
      <c r="A9" s="13" t="s">
        <v>223</v>
      </c>
      <c r="B9" s="14">
        <f>SUMIFS('Zápisník letů'!$L$2:$L$1018,'Zápisník letů'!$Q$2:$Q$1018,"SAFETY PILOT")</f>
        <v>1.0687500000000001</v>
      </c>
      <c r="C9" s="15"/>
      <c r="D9" s="10"/>
      <c r="E9" s="16"/>
    </row>
    <row r="10" spans="1:23" ht="15">
      <c r="A10" s="13" t="s">
        <v>226</v>
      </c>
      <c r="B10" s="14">
        <f>SUMIFS('Zápisník letů'!$L$2:$L$1018,'Zápisník letů'!$B$2:$B$1018,"ULL")</f>
        <v>9.327083333333329</v>
      </c>
      <c r="C10" s="15"/>
      <c r="D10" s="11" t="s">
        <v>1</v>
      </c>
      <c r="E10" s="17" t="s">
        <v>220</v>
      </c>
    </row>
    <row r="11" spans="1:23" ht="15">
      <c r="A11" s="13" t="s">
        <v>227</v>
      </c>
      <c r="B11" s="14">
        <f>SUMIFS('Zápisník letů'!$L$2:$L$1018,'Zápisník letů'!$B$2:$B$1018,"EASA")</f>
        <v>1.9333333333333338</v>
      </c>
      <c r="C11" s="15"/>
      <c r="D11" s="10" t="s">
        <v>22</v>
      </c>
      <c r="E11" s="16">
        <f>B10*24</f>
        <v>223.84999999999991</v>
      </c>
    </row>
    <row r="12" spans="1:23" ht="15">
      <c r="A12" s="13" t="s">
        <v>12</v>
      </c>
      <c r="B12" s="14">
        <f>SUM('Zápisník letů'!$M$2:$M$1018)</f>
        <v>9.8631944444444457</v>
      </c>
      <c r="C12" s="15"/>
      <c r="D12" s="10" t="s">
        <v>48</v>
      </c>
      <c r="E12" s="16">
        <f>B11*24</f>
        <v>46.400000000000013</v>
      </c>
    </row>
    <row r="13" spans="1:23" ht="15">
      <c r="A13" s="13" t="s">
        <v>228</v>
      </c>
      <c r="B13" s="18">
        <f>COUNTA('Zápisník letů'!$A$2:$A$1018)</f>
        <v>195</v>
      </c>
      <c r="C13" s="15"/>
      <c r="D13" s="10"/>
      <c r="E13" s="16"/>
    </row>
    <row r="14" spans="1:23" ht="15">
      <c r="A14" s="13" t="s">
        <v>229</v>
      </c>
      <c r="B14" s="18">
        <f>SUM('Zápisník letů'!$N$2:$N$1018)</f>
        <v>570</v>
      </c>
      <c r="C14" s="15"/>
      <c r="D14" s="10"/>
      <c r="E14" s="16"/>
    </row>
    <row r="15" spans="1:23" ht="15">
      <c r="A15" s="13" t="s">
        <v>230</v>
      </c>
      <c r="B15" s="19">
        <f>SUM('Zápisník letů'!$T$2:$T$1018)</f>
        <v>678894.50000000012</v>
      </c>
      <c r="C15" s="15"/>
      <c r="D15" s="11" t="s">
        <v>231</v>
      </c>
      <c r="E15" s="17" t="s">
        <v>220</v>
      </c>
    </row>
    <row r="16" spans="1:23" ht="15">
      <c r="A16" s="13" t="s">
        <v>21</v>
      </c>
      <c r="B16" s="18">
        <f>COUNTIFS('Zápisník letů'!$A$2:$A$1018,"&lt;&gt;",'Zápisník letů'!$V$2:$V$1018,"&lt;&gt;OK")</f>
        <v>0</v>
      </c>
      <c r="C16" s="15"/>
      <c r="D16" s="10" t="s">
        <v>222</v>
      </c>
      <c r="E16" s="16">
        <f>B6*24</f>
        <v>204.1999999999999</v>
      </c>
    </row>
    <row r="17" spans="1:5">
      <c r="A17" s="10"/>
      <c r="B17" s="10"/>
      <c r="C17" s="10"/>
      <c r="D17" s="10" t="s">
        <v>224</v>
      </c>
      <c r="E17" s="16">
        <f>B7*24</f>
        <v>8.3000000000000007</v>
      </c>
    </row>
    <row r="18" spans="1:5">
      <c r="A18" s="10"/>
      <c r="B18" s="10"/>
      <c r="C18" s="10"/>
      <c r="D18" s="10"/>
      <c r="E18" s="16"/>
    </row>
    <row r="19" spans="1:5">
      <c r="A19" s="10"/>
      <c r="B19" s="10"/>
      <c r="C19" s="10"/>
      <c r="D19" s="10"/>
      <c r="E19" s="16"/>
    </row>
    <row r="20" spans="1:5" ht="15">
      <c r="A20" s="10"/>
      <c r="B20" s="10"/>
      <c r="C20" s="10"/>
      <c r="D20" s="11" t="s">
        <v>232</v>
      </c>
      <c r="E20" s="17" t="s">
        <v>220</v>
      </c>
    </row>
    <row r="21" spans="1:5">
      <c r="A21" s="10"/>
      <c r="B21" s="10"/>
      <c r="C21" s="10"/>
      <c r="D21" s="10">
        <v>2020</v>
      </c>
      <c r="E21" s="16">
        <f>Souhrny!C4*24</f>
        <v>23.900000000000009</v>
      </c>
    </row>
    <row r="22" spans="1:5">
      <c r="A22" s="10"/>
      <c r="B22" s="10"/>
      <c r="C22" s="10"/>
      <c r="D22" s="10">
        <v>2021</v>
      </c>
      <c r="E22" s="16">
        <f>Souhrny!C5*24</f>
        <v>43.383333333333333</v>
      </c>
    </row>
    <row r="23" spans="1:5">
      <c r="A23" s="10"/>
      <c r="B23" s="10"/>
      <c r="C23" s="10"/>
      <c r="D23" s="10">
        <v>2022</v>
      </c>
      <c r="E23" s="16">
        <f>Souhrny!C6*24</f>
        <v>47.633333333333326</v>
      </c>
    </row>
    <row r="24" spans="1:5">
      <c r="A24" s="10"/>
      <c r="B24" s="10"/>
      <c r="C24" s="10"/>
      <c r="D24" s="10">
        <v>2023</v>
      </c>
      <c r="E24" s="16">
        <f>Souhrny!C7*24</f>
        <v>39.033333333333331</v>
      </c>
    </row>
    <row r="25" spans="1:5">
      <c r="A25" s="10"/>
      <c r="B25" s="10"/>
      <c r="C25" s="10"/>
      <c r="D25" s="10">
        <v>2024</v>
      </c>
      <c r="E25" s="16">
        <f>Souhrny!C8*24</f>
        <v>48.183333333333337</v>
      </c>
    </row>
    <row r="26" spans="1:5">
      <c r="A26" s="10"/>
      <c r="B26" s="10"/>
      <c r="C26" s="10"/>
      <c r="D26" s="10">
        <v>2025</v>
      </c>
      <c r="E26" s="16">
        <f>Souhrny!C9*24</f>
        <v>46.73333333333332</v>
      </c>
    </row>
    <row r="27" spans="1:5">
      <c r="A27" s="10"/>
      <c r="B27" s="10"/>
      <c r="C27" s="10"/>
      <c r="D27" s="10">
        <v>2026</v>
      </c>
      <c r="E27" s="16">
        <f>Souhrny!C10*24</f>
        <v>21.383333333333336</v>
      </c>
    </row>
    <row r="28" spans="1:5">
      <c r="A28" s="10"/>
      <c r="B28" s="10"/>
      <c r="C28" s="10"/>
      <c r="D28" s="10">
        <v>2027</v>
      </c>
      <c r="E28" s="16">
        <f>Souhrny!C11*24</f>
        <v>0</v>
      </c>
    </row>
    <row r="29" spans="1:5">
      <c r="A29" s="10"/>
      <c r="B29" s="10"/>
      <c r="C29" s="10"/>
      <c r="D29" s="10">
        <v>2028</v>
      </c>
      <c r="E29" s="16">
        <f>Souhrny!C12*24</f>
        <v>0</v>
      </c>
    </row>
    <row r="30" spans="1:5">
      <c r="A30" s="10"/>
      <c r="B30" s="10"/>
      <c r="C30" s="10"/>
      <c r="D30" s="10">
        <v>2029</v>
      </c>
      <c r="E30" s="16">
        <f>Souhrny!C13*24</f>
        <v>0</v>
      </c>
    </row>
    <row r="31" spans="1:5">
      <c r="A31" s="10"/>
      <c r="B31" s="10"/>
      <c r="C31" s="10"/>
      <c r="D31" s="10">
        <v>2030</v>
      </c>
      <c r="E31" s="16">
        <f>Souhrny!C14*24</f>
        <v>0</v>
      </c>
    </row>
  </sheetData>
  <mergeCells count="1">
    <mergeCell ref="A1:F1"/>
  </mergeCells>
  <conditionalFormatting sqref="B16">
    <cfRule type="cellIs" dxfId="3" priority="1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8"/>
  <sheetViews>
    <sheetView tabSelected="1" topLeftCell="E163" workbookViewId="0">
      <selection activeCell="R195" sqref="R195"/>
    </sheetView>
  </sheetViews>
  <sheetFormatPr defaultRowHeight="14.25"/>
  <cols>
    <col min="1" max="1" width="12" style="3" customWidth="1"/>
    <col min="2" max="2" width="10" customWidth="1"/>
    <col min="3" max="3" width="12" customWidth="1"/>
    <col min="4" max="4" width="14" customWidth="1"/>
    <col min="5" max="11" width="10" customWidth="1"/>
    <col min="12" max="13" width="11" customWidth="1"/>
    <col min="14" max="14" width="8" customWidth="1"/>
    <col min="15" max="16" width="18" customWidth="1"/>
    <col min="17" max="17" width="14" customWidth="1"/>
    <col min="18" max="18" width="18" customWidth="1"/>
    <col min="19" max="19" width="12" customWidth="1"/>
    <col min="20" max="20" width="13" customWidth="1"/>
    <col min="21" max="22" width="18" customWidth="1"/>
    <col min="23" max="23" width="12" customWidth="1"/>
  </cols>
  <sheetData>
    <row r="1" spans="1:22" ht="1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3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4" t="s">
        <v>18</v>
      </c>
      <c r="T1" s="24" t="s">
        <v>19</v>
      </c>
      <c r="U1" s="21" t="s">
        <v>20</v>
      </c>
      <c r="V1" s="21" t="s">
        <v>21</v>
      </c>
    </row>
    <row r="2" spans="1:22">
      <c r="A2" s="6">
        <v>43930</v>
      </c>
      <c r="B2" t="s">
        <v>22</v>
      </c>
      <c r="C2" t="s">
        <v>23</v>
      </c>
      <c r="D2" t="s">
        <v>24</v>
      </c>
      <c r="E2" t="s">
        <v>22</v>
      </c>
      <c r="F2" t="s">
        <v>25</v>
      </c>
      <c r="G2" t="s">
        <v>25</v>
      </c>
      <c r="H2" s="25">
        <v>0.36388888888888887</v>
      </c>
      <c r="I2" s="25">
        <v>0.36736111111111114</v>
      </c>
      <c r="J2" s="25">
        <v>0.42986111111111114</v>
      </c>
      <c r="K2" s="25">
        <v>0.43333333333333335</v>
      </c>
      <c r="L2" s="1">
        <f t="shared" ref="L2:L65" si="0">IF($A2="","",IF(AND(ISNUMBER($H2),ISNUMBER($K2)),MOD($K2-$H2,1),""))</f>
        <v>6.9444444444444475E-2</v>
      </c>
      <c r="M2" s="1">
        <f t="shared" ref="M2:M65" si="1">IF($A2="","",IF(AND(ISNUMBER($I2),ISNUMBER($J2)),MOD($J2-$I2,1),""))</f>
        <v>6.25E-2</v>
      </c>
      <c r="N2" s="26">
        <v>2</v>
      </c>
      <c r="O2" t="s">
        <v>26</v>
      </c>
      <c r="Q2" t="s">
        <v>27</v>
      </c>
      <c r="S2" s="27">
        <v>1860</v>
      </c>
      <c r="T2" s="28">
        <f t="shared" ref="T2:T66" si="2">IF($A2="","",IF(OR($S2="", $S2&lt;=0, $L2=""),"",ROUND($L2*24*$S2,2)))</f>
        <v>3100</v>
      </c>
      <c r="V2" t="str">
        <f t="shared" ref="V2:V66" si="3">IF($A2="","",IF(OR(YEAR($A2)&lt;2020,YEAR($A2)&gt;2030),"Podezřelé datum",IF(OR($F2="",$G2=""),"Chybí letiště",IF(OR($H2="",$I2="",$J2="",$K2=""),"Chybí čas",IF(OR($H2&gt;$I2,$I2&gt;$J2,$J2&gt;$K2),"Časy mimo pořadí",IF($M2&gt;$L2,"Air &gt; Block",IF(OR($S2="", $S2&lt;=0),"Chybí sazba","OK")))))))</f>
        <v>OK</v>
      </c>
    </row>
    <row r="3" spans="1:22">
      <c r="A3" s="6">
        <v>43944</v>
      </c>
      <c r="B3" t="s">
        <v>22</v>
      </c>
      <c r="C3" t="s">
        <v>23</v>
      </c>
      <c r="D3" t="s">
        <v>24</v>
      </c>
      <c r="E3" t="s">
        <v>22</v>
      </c>
      <c r="F3" t="s">
        <v>25</v>
      </c>
      <c r="G3" t="s">
        <v>28</v>
      </c>
      <c r="H3" s="25">
        <v>0.4513888888888889</v>
      </c>
      <c r="I3" s="25">
        <v>0.4548611111111111</v>
      </c>
      <c r="J3" s="25">
        <v>0.49236111111111108</v>
      </c>
      <c r="K3" s="25">
        <v>0.49583333333333335</v>
      </c>
      <c r="L3" s="1">
        <f t="shared" si="0"/>
        <v>4.4444444444444453E-2</v>
      </c>
      <c r="M3" s="1">
        <f t="shared" si="1"/>
        <v>3.7499999999999978E-2</v>
      </c>
      <c r="N3" s="26">
        <v>1</v>
      </c>
      <c r="O3" t="s">
        <v>26</v>
      </c>
      <c r="Q3" t="s">
        <v>27</v>
      </c>
      <c r="R3" t="s">
        <v>29</v>
      </c>
      <c r="S3" s="27">
        <v>1860</v>
      </c>
      <c r="T3" s="28">
        <f t="shared" si="2"/>
        <v>1984</v>
      </c>
      <c r="V3" t="str">
        <f t="shared" si="3"/>
        <v>OK</v>
      </c>
    </row>
    <row r="4" spans="1:22">
      <c r="A4" s="6">
        <v>43944</v>
      </c>
      <c r="B4" t="s">
        <v>22</v>
      </c>
      <c r="C4" t="s">
        <v>23</v>
      </c>
      <c r="D4" t="s">
        <v>24</v>
      </c>
      <c r="E4" t="s">
        <v>22</v>
      </c>
      <c r="F4" t="s">
        <v>28</v>
      </c>
      <c r="G4" t="s">
        <v>25</v>
      </c>
      <c r="H4" s="25">
        <v>0.54861111111111105</v>
      </c>
      <c r="I4" s="25">
        <v>0.55208333333333337</v>
      </c>
      <c r="J4" s="25">
        <v>0.5854166666666667</v>
      </c>
      <c r="K4" s="25">
        <v>0.58888888888888891</v>
      </c>
      <c r="L4" s="1">
        <f t="shared" si="0"/>
        <v>4.0277777777777857E-2</v>
      </c>
      <c r="M4" s="1">
        <f t="shared" si="1"/>
        <v>3.3333333333333326E-2</v>
      </c>
      <c r="N4" s="26">
        <v>1</v>
      </c>
      <c r="O4" t="s">
        <v>26</v>
      </c>
      <c r="Q4" t="s">
        <v>27</v>
      </c>
      <c r="R4" t="s">
        <v>30</v>
      </c>
      <c r="S4" s="27">
        <v>1860</v>
      </c>
      <c r="T4" s="28">
        <f t="shared" si="2"/>
        <v>1798</v>
      </c>
      <c r="V4" t="str">
        <f t="shared" si="3"/>
        <v>OK</v>
      </c>
    </row>
    <row r="5" spans="1:22">
      <c r="A5" s="6">
        <v>43973</v>
      </c>
      <c r="B5" t="s">
        <v>22</v>
      </c>
      <c r="C5" t="s">
        <v>23</v>
      </c>
      <c r="D5" t="s">
        <v>24</v>
      </c>
      <c r="E5" t="s">
        <v>22</v>
      </c>
      <c r="F5" t="s">
        <v>25</v>
      </c>
      <c r="G5" t="s">
        <v>25</v>
      </c>
      <c r="H5" s="25">
        <v>0.39097222222222222</v>
      </c>
      <c r="I5" s="25">
        <v>0.39444444444444443</v>
      </c>
      <c r="J5" s="25">
        <v>0.4694444444444445</v>
      </c>
      <c r="K5" s="25">
        <v>0.47291666666666665</v>
      </c>
      <c r="L5" s="1">
        <f t="shared" si="0"/>
        <v>8.1944444444444431E-2</v>
      </c>
      <c r="M5" s="1">
        <f t="shared" si="1"/>
        <v>7.5000000000000067E-2</v>
      </c>
      <c r="N5" s="26">
        <v>2</v>
      </c>
      <c r="O5" t="s">
        <v>26</v>
      </c>
      <c r="Q5" t="s">
        <v>27</v>
      </c>
      <c r="S5" s="27">
        <v>1860</v>
      </c>
      <c r="T5" s="28">
        <f t="shared" si="2"/>
        <v>3658</v>
      </c>
      <c r="V5" t="str">
        <f t="shared" si="3"/>
        <v>OK</v>
      </c>
    </row>
    <row r="6" spans="1:22">
      <c r="A6" s="6">
        <v>44078</v>
      </c>
      <c r="B6" t="s">
        <v>22</v>
      </c>
      <c r="C6" t="s">
        <v>23</v>
      </c>
      <c r="D6" t="s">
        <v>24</v>
      </c>
      <c r="E6" t="s">
        <v>22</v>
      </c>
      <c r="F6" t="s">
        <v>25</v>
      </c>
      <c r="G6" t="s">
        <v>25</v>
      </c>
      <c r="H6" s="25">
        <v>0.58680555555555558</v>
      </c>
      <c r="I6" s="25">
        <v>0.59027777777777779</v>
      </c>
      <c r="J6" s="25">
        <v>0.6069444444444444</v>
      </c>
      <c r="K6" s="25">
        <v>0.61041666666666672</v>
      </c>
      <c r="L6" s="1">
        <f t="shared" si="0"/>
        <v>2.3611111111111138E-2</v>
      </c>
      <c r="M6" s="1">
        <f t="shared" si="1"/>
        <v>1.6666666666666607E-2</v>
      </c>
      <c r="N6" s="26">
        <v>1</v>
      </c>
      <c r="O6" t="s">
        <v>26</v>
      </c>
      <c r="P6" t="s">
        <v>31</v>
      </c>
      <c r="Q6" t="s">
        <v>32</v>
      </c>
      <c r="S6" s="27">
        <v>1860</v>
      </c>
      <c r="T6" s="28">
        <f t="shared" si="2"/>
        <v>1054</v>
      </c>
      <c r="V6" t="str">
        <f t="shared" si="3"/>
        <v>OK</v>
      </c>
    </row>
    <row r="7" spans="1:22">
      <c r="A7" s="6">
        <v>44080</v>
      </c>
      <c r="B7" t="s">
        <v>22</v>
      </c>
      <c r="C7" t="s">
        <v>23</v>
      </c>
      <c r="D7" t="s">
        <v>24</v>
      </c>
      <c r="E7" t="s">
        <v>22</v>
      </c>
      <c r="F7" t="s">
        <v>25</v>
      </c>
      <c r="G7" t="s">
        <v>25</v>
      </c>
      <c r="H7" s="25">
        <v>0.47569444444444442</v>
      </c>
      <c r="I7" s="25">
        <v>0.47916666666666669</v>
      </c>
      <c r="J7" s="25">
        <v>0.51250000000000007</v>
      </c>
      <c r="K7" s="25">
        <v>0.51597222222222217</v>
      </c>
      <c r="L7" s="1">
        <f t="shared" si="0"/>
        <v>4.0277777777777746E-2</v>
      </c>
      <c r="M7" s="1">
        <f t="shared" si="1"/>
        <v>3.3333333333333381E-2</v>
      </c>
      <c r="N7" s="26">
        <v>9</v>
      </c>
      <c r="O7" t="s">
        <v>26</v>
      </c>
      <c r="P7" t="s">
        <v>31</v>
      </c>
      <c r="Q7" t="s">
        <v>32</v>
      </c>
      <c r="S7" s="27">
        <v>1860</v>
      </c>
      <c r="T7" s="28">
        <f t="shared" si="2"/>
        <v>1798</v>
      </c>
      <c r="V7" t="str">
        <f t="shared" si="3"/>
        <v>OK</v>
      </c>
    </row>
    <row r="8" spans="1:22">
      <c r="A8" s="6">
        <v>44081</v>
      </c>
      <c r="B8" t="s">
        <v>22</v>
      </c>
      <c r="C8" t="s">
        <v>23</v>
      </c>
      <c r="D8" t="s">
        <v>24</v>
      </c>
      <c r="E8" t="s">
        <v>22</v>
      </c>
      <c r="F8" t="s">
        <v>25</v>
      </c>
      <c r="G8" t="s">
        <v>25</v>
      </c>
      <c r="H8" s="25">
        <v>0.61319444444444449</v>
      </c>
      <c r="I8" s="25">
        <v>0.6166666666666667</v>
      </c>
      <c r="J8" s="25">
        <v>0.64166666666666672</v>
      </c>
      <c r="K8" s="25">
        <v>0.64513888888888882</v>
      </c>
      <c r="L8" s="1">
        <f t="shared" si="0"/>
        <v>3.1944444444444331E-2</v>
      </c>
      <c r="M8" s="1">
        <f t="shared" si="1"/>
        <v>2.5000000000000022E-2</v>
      </c>
      <c r="N8" s="26">
        <v>6</v>
      </c>
      <c r="O8" t="s">
        <v>26</v>
      </c>
      <c r="P8" t="s">
        <v>33</v>
      </c>
      <c r="Q8" t="s">
        <v>32</v>
      </c>
      <c r="S8" s="27">
        <v>1860</v>
      </c>
      <c r="T8" s="28">
        <f t="shared" si="2"/>
        <v>1426</v>
      </c>
      <c r="V8" t="str">
        <f t="shared" si="3"/>
        <v>OK</v>
      </c>
    </row>
    <row r="9" spans="1:22">
      <c r="A9" s="6">
        <v>44082</v>
      </c>
      <c r="B9" t="s">
        <v>22</v>
      </c>
      <c r="C9" t="s">
        <v>23</v>
      </c>
      <c r="D9" t="s">
        <v>24</v>
      </c>
      <c r="E9" t="s">
        <v>22</v>
      </c>
      <c r="F9" t="s">
        <v>25</v>
      </c>
      <c r="G9" t="s">
        <v>25</v>
      </c>
      <c r="H9" s="25">
        <v>0.68541666666666667</v>
      </c>
      <c r="I9" s="25">
        <v>0.68888888888888899</v>
      </c>
      <c r="J9" s="25">
        <v>0.72222222222222221</v>
      </c>
      <c r="K9" s="25">
        <v>0.72569444444444453</v>
      </c>
      <c r="L9" s="1">
        <f t="shared" si="0"/>
        <v>4.0277777777777857E-2</v>
      </c>
      <c r="M9" s="1">
        <f t="shared" si="1"/>
        <v>3.3333333333333215E-2</v>
      </c>
      <c r="N9" s="26">
        <v>5</v>
      </c>
      <c r="O9" t="s">
        <v>26</v>
      </c>
      <c r="P9" t="s">
        <v>33</v>
      </c>
      <c r="Q9" t="s">
        <v>32</v>
      </c>
      <c r="S9" s="27">
        <v>1860</v>
      </c>
      <c r="T9" s="28">
        <f t="shared" si="2"/>
        <v>1798</v>
      </c>
      <c r="V9" t="str">
        <f t="shared" si="3"/>
        <v>OK</v>
      </c>
    </row>
    <row r="10" spans="1:22">
      <c r="A10" s="6">
        <v>44086</v>
      </c>
      <c r="B10" t="s">
        <v>22</v>
      </c>
      <c r="C10" t="s">
        <v>23</v>
      </c>
      <c r="D10" t="s">
        <v>24</v>
      </c>
      <c r="E10" t="s">
        <v>22</v>
      </c>
      <c r="F10" t="s">
        <v>25</v>
      </c>
      <c r="G10" t="s">
        <v>25</v>
      </c>
      <c r="H10" s="25">
        <v>0.34027777777777773</v>
      </c>
      <c r="I10" s="25">
        <v>0.34375</v>
      </c>
      <c r="J10" s="25">
        <v>0.36874999999999997</v>
      </c>
      <c r="K10" s="25">
        <v>0.37222222222222223</v>
      </c>
      <c r="L10" s="1">
        <f t="shared" si="0"/>
        <v>3.1944444444444497E-2</v>
      </c>
      <c r="M10" s="1">
        <f t="shared" si="1"/>
        <v>2.4999999999999967E-2</v>
      </c>
      <c r="N10" s="26">
        <v>8</v>
      </c>
      <c r="O10" t="s">
        <v>26</v>
      </c>
      <c r="Q10" t="s">
        <v>27</v>
      </c>
      <c r="S10" s="27">
        <v>1860</v>
      </c>
      <c r="T10" s="28">
        <f t="shared" si="2"/>
        <v>1426</v>
      </c>
      <c r="V10" t="str">
        <f t="shared" si="3"/>
        <v>OK</v>
      </c>
    </row>
    <row r="11" spans="1:22">
      <c r="A11" s="6">
        <v>44086</v>
      </c>
      <c r="B11" t="s">
        <v>22</v>
      </c>
      <c r="C11" t="s">
        <v>23</v>
      </c>
      <c r="D11" t="s">
        <v>24</v>
      </c>
      <c r="E11" t="s">
        <v>22</v>
      </c>
      <c r="F11" t="s">
        <v>25</v>
      </c>
      <c r="G11" t="s">
        <v>25</v>
      </c>
      <c r="H11" s="25">
        <v>0.39166666666666666</v>
      </c>
      <c r="I11" s="25">
        <v>0.39513888888888887</v>
      </c>
      <c r="J11" s="25">
        <v>0.40763888888888888</v>
      </c>
      <c r="K11" s="25">
        <v>0.41111111111111115</v>
      </c>
      <c r="L11" s="1">
        <f t="shared" si="0"/>
        <v>1.9444444444444486E-2</v>
      </c>
      <c r="M11" s="1">
        <f t="shared" si="1"/>
        <v>1.2500000000000011E-2</v>
      </c>
      <c r="N11" s="26">
        <v>5</v>
      </c>
      <c r="O11" t="s">
        <v>26</v>
      </c>
      <c r="Q11" t="s">
        <v>27</v>
      </c>
      <c r="S11" s="27">
        <v>1860</v>
      </c>
      <c r="T11" s="28">
        <f t="shared" si="2"/>
        <v>868</v>
      </c>
      <c r="V11" t="str">
        <f t="shared" si="3"/>
        <v>OK</v>
      </c>
    </row>
    <row r="12" spans="1:22">
      <c r="A12" s="6">
        <v>44086</v>
      </c>
      <c r="B12" t="s">
        <v>22</v>
      </c>
      <c r="C12" t="s">
        <v>23</v>
      </c>
      <c r="D12" t="s">
        <v>24</v>
      </c>
      <c r="E12" t="s">
        <v>22</v>
      </c>
      <c r="F12" t="s">
        <v>25</v>
      </c>
      <c r="G12" t="s">
        <v>25</v>
      </c>
      <c r="H12" s="25">
        <v>0.41111111111111115</v>
      </c>
      <c r="I12" s="25">
        <v>0.4145833333333333</v>
      </c>
      <c r="J12" s="25">
        <v>0.42708333333333331</v>
      </c>
      <c r="K12" s="25">
        <v>0.43055555555555558</v>
      </c>
      <c r="L12" s="1">
        <f t="shared" si="0"/>
        <v>1.9444444444444431E-2</v>
      </c>
      <c r="M12" s="1">
        <f t="shared" si="1"/>
        <v>1.2500000000000011E-2</v>
      </c>
      <c r="N12" s="26">
        <v>5</v>
      </c>
      <c r="O12" t="s">
        <v>26</v>
      </c>
      <c r="Q12" t="s">
        <v>27</v>
      </c>
      <c r="S12" s="27">
        <v>1860</v>
      </c>
      <c r="T12" s="28">
        <f t="shared" si="2"/>
        <v>868</v>
      </c>
      <c r="V12" t="str">
        <f t="shared" si="3"/>
        <v>OK</v>
      </c>
    </row>
    <row r="13" spans="1:22">
      <c r="A13" s="6">
        <v>44087</v>
      </c>
      <c r="B13" t="s">
        <v>22</v>
      </c>
      <c r="C13" t="s">
        <v>23</v>
      </c>
      <c r="D13" t="s">
        <v>24</v>
      </c>
      <c r="E13" t="s">
        <v>22</v>
      </c>
      <c r="F13" t="s">
        <v>25</v>
      </c>
      <c r="G13" t="s">
        <v>25</v>
      </c>
      <c r="H13" s="25">
        <v>0.4993055555555555</v>
      </c>
      <c r="I13" s="25">
        <v>0.50277777777777777</v>
      </c>
      <c r="J13" s="25">
        <v>0.51944444444444449</v>
      </c>
      <c r="K13" s="25">
        <v>0.5229166666666667</v>
      </c>
      <c r="L13" s="1">
        <f t="shared" si="0"/>
        <v>2.3611111111111194E-2</v>
      </c>
      <c r="M13" s="1">
        <f t="shared" si="1"/>
        <v>1.6666666666666718E-2</v>
      </c>
      <c r="N13" s="26">
        <v>6</v>
      </c>
      <c r="O13" t="s">
        <v>26</v>
      </c>
      <c r="Q13" t="s">
        <v>27</v>
      </c>
      <c r="S13" s="27">
        <v>1860</v>
      </c>
      <c r="T13" s="28">
        <f t="shared" si="2"/>
        <v>1054</v>
      </c>
      <c r="V13" t="str">
        <f t="shared" si="3"/>
        <v>OK</v>
      </c>
    </row>
    <row r="14" spans="1:22">
      <c r="A14" s="6">
        <v>44089</v>
      </c>
      <c r="B14" t="s">
        <v>22</v>
      </c>
      <c r="C14" t="s">
        <v>23</v>
      </c>
      <c r="D14" t="s">
        <v>24</v>
      </c>
      <c r="E14" t="s">
        <v>22</v>
      </c>
      <c r="F14" t="s">
        <v>25</v>
      </c>
      <c r="G14" t="s">
        <v>25</v>
      </c>
      <c r="H14" s="25">
        <v>0.58472222222222225</v>
      </c>
      <c r="I14" s="25">
        <v>0.58819444444444446</v>
      </c>
      <c r="J14" s="25">
        <v>0.60486111111111118</v>
      </c>
      <c r="K14" s="25">
        <v>0.60833333333333328</v>
      </c>
      <c r="L14" s="1">
        <f t="shared" si="0"/>
        <v>2.3611111111111027E-2</v>
      </c>
      <c r="M14" s="1">
        <f t="shared" si="1"/>
        <v>1.6666666666666718E-2</v>
      </c>
      <c r="N14" s="26">
        <v>5</v>
      </c>
      <c r="O14" t="s">
        <v>26</v>
      </c>
      <c r="Q14" t="s">
        <v>27</v>
      </c>
      <c r="S14" s="27">
        <v>1860</v>
      </c>
      <c r="T14" s="28">
        <f t="shared" si="2"/>
        <v>1054</v>
      </c>
      <c r="V14" t="str">
        <f t="shared" si="3"/>
        <v>OK</v>
      </c>
    </row>
    <row r="15" spans="1:22">
      <c r="A15" s="6">
        <v>44089</v>
      </c>
      <c r="B15" t="s">
        <v>22</v>
      </c>
      <c r="C15" t="s">
        <v>23</v>
      </c>
      <c r="D15" t="s">
        <v>24</v>
      </c>
      <c r="E15" t="s">
        <v>22</v>
      </c>
      <c r="F15" t="s">
        <v>25</v>
      </c>
      <c r="G15" t="s">
        <v>25</v>
      </c>
      <c r="H15" s="25">
        <v>0.65138888888888891</v>
      </c>
      <c r="I15" s="25">
        <v>0.65486111111111112</v>
      </c>
      <c r="J15" s="25">
        <v>0.67152777777777783</v>
      </c>
      <c r="K15" s="25">
        <v>0.67499999999999993</v>
      </c>
      <c r="L15" s="1">
        <f t="shared" si="0"/>
        <v>2.3611111111111027E-2</v>
      </c>
      <c r="M15" s="1">
        <f t="shared" si="1"/>
        <v>1.6666666666666718E-2</v>
      </c>
      <c r="N15" s="26">
        <v>5</v>
      </c>
      <c r="O15" t="s">
        <v>26</v>
      </c>
      <c r="Q15" t="s">
        <v>27</v>
      </c>
      <c r="S15" s="27">
        <v>1860</v>
      </c>
      <c r="T15" s="28">
        <f t="shared" si="2"/>
        <v>1054</v>
      </c>
      <c r="V15" t="str">
        <f t="shared" si="3"/>
        <v>OK</v>
      </c>
    </row>
    <row r="16" spans="1:22">
      <c r="A16" s="6">
        <v>44093</v>
      </c>
      <c r="B16" t="s">
        <v>22</v>
      </c>
      <c r="C16" t="s">
        <v>23</v>
      </c>
      <c r="D16" t="s">
        <v>24</v>
      </c>
      <c r="E16" t="s">
        <v>22</v>
      </c>
      <c r="F16" t="s">
        <v>25</v>
      </c>
      <c r="G16" t="s">
        <v>25</v>
      </c>
      <c r="H16" s="25">
        <v>0.55902777777777779</v>
      </c>
      <c r="I16" s="25">
        <v>0.5625</v>
      </c>
      <c r="J16" s="25">
        <v>0.58750000000000002</v>
      </c>
      <c r="K16" s="25">
        <v>0.59097222222222223</v>
      </c>
      <c r="L16" s="1">
        <f t="shared" si="0"/>
        <v>3.1944444444444442E-2</v>
      </c>
      <c r="M16" s="1">
        <f t="shared" si="1"/>
        <v>2.5000000000000022E-2</v>
      </c>
      <c r="N16" s="26">
        <v>4</v>
      </c>
      <c r="O16" t="s">
        <v>26</v>
      </c>
      <c r="Q16" t="s">
        <v>27</v>
      </c>
      <c r="S16" s="27">
        <v>1860</v>
      </c>
      <c r="T16" s="28">
        <f t="shared" si="2"/>
        <v>1426</v>
      </c>
      <c r="V16" t="str">
        <f t="shared" si="3"/>
        <v>OK</v>
      </c>
    </row>
    <row r="17" spans="1:22">
      <c r="A17" s="6">
        <v>44122</v>
      </c>
      <c r="B17" t="s">
        <v>22</v>
      </c>
      <c r="C17" t="s">
        <v>23</v>
      </c>
      <c r="D17" t="s">
        <v>24</v>
      </c>
      <c r="E17" t="s">
        <v>22</v>
      </c>
      <c r="F17" t="s">
        <v>25</v>
      </c>
      <c r="G17" t="s">
        <v>34</v>
      </c>
      <c r="H17" s="25">
        <v>0.46875</v>
      </c>
      <c r="I17" s="25">
        <v>0.47222222222222227</v>
      </c>
      <c r="J17" s="25">
        <v>0.48472222222222222</v>
      </c>
      <c r="K17" s="25">
        <v>0.48819444444444443</v>
      </c>
      <c r="L17" s="1">
        <f t="shared" si="0"/>
        <v>1.9444444444444431E-2</v>
      </c>
      <c r="M17" s="1">
        <f t="shared" si="1"/>
        <v>1.2499999999999956E-2</v>
      </c>
      <c r="N17" s="26">
        <v>1</v>
      </c>
      <c r="O17" t="s">
        <v>26</v>
      </c>
      <c r="Q17" t="s">
        <v>27</v>
      </c>
      <c r="R17" t="s">
        <v>35</v>
      </c>
      <c r="S17" s="27">
        <v>1860</v>
      </c>
      <c r="T17" s="28">
        <f t="shared" si="2"/>
        <v>868</v>
      </c>
      <c r="V17" t="str">
        <f t="shared" si="3"/>
        <v>OK</v>
      </c>
    </row>
    <row r="18" spans="1:22">
      <c r="A18" s="6">
        <v>44122</v>
      </c>
      <c r="B18" t="s">
        <v>22</v>
      </c>
      <c r="C18" t="s">
        <v>23</v>
      </c>
      <c r="D18" t="s">
        <v>24</v>
      </c>
      <c r="E18" t="s">
        <v>22</v>
      </c>
      <c r="F18" t="s">
        <v>34</v>
      </c>
      <c r="G18" t="s">
        <v>25</v>
      </c>
      <c r="H18" s="25">
        <v>0.55972222222222223</v>
      </c>
      <c r="I18" s="25">
        <v>0.56319444444444444</v>
      </c>
      <c r="J18" s="25">
        <v>0.58402777777777781</v>
      </c>
      <c r="K18" s="25">
        <v>0.58750000000000002</v>
      </c>
      <c r="L18" s="1">
        <f t="shared" si="0"/>
        <v>2.777777777777779E-2</v>
      </c>
      <c r="M18" s="1">
        <f t="shared" si="1"/>
        <v>2.083333333333337E-2</v>
      </c>
      <c r="N18" s="26">
        <v>1</v>
      </c>
      <c r="O18" t="s">
        <v>26</v>
      </c>
      <c r="Q18" t="s">
        <v>27</v>
      </c>
      <c r="R18" t="s">
        <v>36</v>
      </c>
      <c r="S18" s="27">
        <v>1860</v>
      </c>
      <c r="T18" s="28">
        <f t="shared" si="2"/>
        <v>1240</v>
      </c>
      <c r="V18" t="str">
        <f t="shared" si="3"/>
        <v>OK</v>
      </c>
    </row>
    <row r="19" spans="1:22">
      <c r="A19" s="6">
        <v>44122</v>
      </c>
      <c r="B19" t="s">
        <v>22</v>
      </c>
      <c r="C19" t="s">
        <v>23</v>
      </c>
      <c r="D19" t="s">
        <v>24</v>
      </c>
      <c r="E19" t="s">
        <v>22</v>
      </c>
      <c r="F19" t="s">
        <v>25</v>
      </c>
      <c r="G19" t="s">
        <v>25</v>
      </c>
      <c r="H19" s="25">
        <v>0.60277777777777775</v>
      </c>
      <c r="I19" s="25">
        <v>0.60625000000000007</v>
      </c>
      <c r="J19" s="25">
        <v>0.61875000000000002</v>
      </c>
      <c r="K19" s="25">
        <v>0.62222222222222223</v>
      </c>
      <c r="L19" s="1">
        <f t="shared" si="0"/>
        <v>1.9444444444444486E-2</v>
      </c>
      <c r="M19" s="1">
        <f t="shared" si="1"/>
        <v>1.2499999999999956E-2</v>
      </c>
      <c r="N19" s="26">
        <v>4</v>
      </c>
      <c r="O19" t="s">
        <v>26</v>
      </c>
      <c r="Q19" t="s">
        <v>27</v>
      </c>
      <c r="S19" s="27">
        <v>1860</v>
      </c>
      <c r="T19" s="28">
        <f t="shared" si="2"/>
        <v>868</v>
      </c>
      <c r="V19" t="str">
        <f t="shared" si="3"/>
        <v>OK</v>
      </c>
    </row>
    <row r="20" spans="1:22">
      <c r="A20" s="6">
        <v>44124</v>
      </c>
      <c r="B20" t="s">
        <v>22</v>
      </c>
      <c r="C20" t="s">
        <v>23</v>
      </c>
      <c r="D20" t="s">
        <v>24</v>
      </c>
      <c r="E20" t="s">
        <v>22</v>
      </c>
      <c r="F20" t="s">
        <v>25</v>
      </c>
      <c r="G20" t="s">
        <v>25</v>
      </c>
      <c r="H20" s="25">
        <v>0.55208333333333337</v>
      </c>
      <c r="I20" s="25">
        <v>0.55555555555555558</v>
      </c>
      <c r="J20" s="25">
        <v>0.60138888888888886</v>
      </c>
      <c r="K20" s="25">
        <v>0.60486111111111118</v>
      </c>
      <c r="L20" s="1">
        <f t="shared" si="0"/>
        <v>5.2777777777777812E-2</v>
      </c>
      <c r="M20" s="1">
        <f t="shared" si="1"/>
        <v>4.5833333333333282E-2</v>
      </c>
      <c r="N20" s="26">
        <v>2</v>
      </c>
      <c r="O20" t="s">
        <v>26</v>
      </c>
      <c r="P20" t="s">
        <v>33</v>
      </c>
      <c r="Q20" t="s">
        <v>32</v>
      </c>
      <c r="S20" s="27">
        <v>1860</v>
      </c>
      <c r="T20" s="28">
        <f t="shared" si="2"/>
        <v>2356</v>
      </c>
      <c r="V20" t="str">
        <f t="shared" si="3"/>
        <v>OK</v>
      </c>
    </row>
    <row r="21" spans="1:22">
      <c r="A21" s="6">
        <v>44128</v>
      </c>
      <c r="B21" t="s">
        <v>22</v>
      </c>
      <c r="C21" t="s">
        <v>23</v>
      </c>
      <c r="D21" t="s">
        <v>24</v>
      </c>
      <c r="E21" t="s">
        <v>22</v>
      </c>
      <c r="F21" t="s">
        <v>25</v>
      </c>
      <c r="G21" t="s">
        <v>25</v>
      </c>
      <c r="H21" s="25">
        <v>0.49513888888888885</v>
      </c>
      <c r="I21" s="25">
        <v>0.49861111111111112</v>
      </c>
      <c r="J21" s="25">
        <v>0.54861111111111105</v>
      </c>
      <c r="K21" s="25">
        <v>0.55208333333333337</v>
      </c>
      <c r="L21" s="1">
        <f t="shared" si="0"/>
        <v>5.694444444444452E-2</v>
      </c>
      <c r="M21" s="1">
        <f t="shared" si="1"/>
        <v>4.9999999999999933E-2</v>
      </c>
      <c r="N21" s="26">
        <v>2</v>
      </c>
      <c r="O21" t="s">
        <v>26</v>
      </c>
      <c r="Q21" t="s">
        <v>27</v>
      </c>
      <c r="S21" s="27">
        <v>1860</v>
      </c>
      <c r="T21" s="28">
        <f t="shared" si="2"/>
        <v>2542</v>
      </c>
      <c r="V21" t="str">
        <f t="shared" si="3"/>
        <v>OK</v>
      </c>
    </row>
    <row r="22" spans="1:22">
      <c r="A22" s="6">
        <v>44141</v>
      </c>
      <c r="B22" t="s">
        <v>22</v>
      </c>
      <c r="C22" t="s">
        <v>23</v>
      </c>
      <c r="D22" t="s">
        <v>24</v>
      </c>
      <c r="E22" t="s">
        <v>22</v>
      </c>
      <c r="F22" t="s">
        <v>25</v>
      </c>
      <c r="G22" t="s">
        <v>25</v>
      </c>
      <c r="H22" s="25">
        <v>0.61111111111111105</v>
      </c>
      <c r="I22" s="25">
        <v>0.61458333333333337</v>
      </c>
      <c r="J22" s="25">
        <v>0.64374999999999993</v>
      </c>
      <c r="K22" s="25">
        <v>0.64722222222222225</v>
      </c>
      <c r="L22" s="1">
        <f t="shared" si="0"/>
        <v>3.6111111111111205E-2</v>
      </c>
      <c r="M22" s="1">
        <f t="shared" si="1"/>
        <v>2.9166666666666563E-2</v>
      </c>
      <c r="N22" s="26">
        <v>2</v>
      </c>
      <c r="O22" t="s">
        <v>26</v>
      </c>
      <c r="Q22" t="s">
        <v>27</v>
      </c>
      <c r="S22" s="27">
        <v>1860</v>
      </c>
      <c r="T22" s="28">
        <f t="shared" si="2"/>
        <v>1612</v>
      </c>
      <c r="V22" t="str">
        <f t="shared" si="3"/>
        <v>OK</v>
      </c>
    </row>
    <row r="23" spans="1:22">
      <c r="A23" s="6">
        <v>44153</v>
      </c>
      <c r="B23" t="s">
        <v>22</v>
      </c>
      <c r="C23" t="s">
        <v>23</v>
      </c>
      <c r="D23" t="s">
        <v>24</v>
      </c>
      <c r="E23" t="s">
        <v>22</v>
      </c>
      <c r="F23" t="s">
        <v>25</v>
      </c>
      <c r="G23" t="s">
        <v>25</v>
      </c>
      <c r="H23" s="25">
        <v>0.49652777777777773</v>
      </c>
      <c r="I23" s="25">
        <v>0.5</v>
      </c>
      <c r="J23" s="25">
        <v>0.6</v>
      </c>
      <c r="K23" s="25">
        <v>0.60347222222222219</v>
      </c>
      <c r="L23" s="1">
        <f t="shared" si="0"/>
        <v>0.10694444444444445</v>
      </c>
      <c r="M23" s="1">
        <f t="shared" si="1"/>
        <v>9.9999999999999978E-2</v>
      </c>
      <c r="N23" s="26">
        <v>3</v>
      </c>
      <c r="O23" t="s">
        <v>26</v>
      </c>
      <c r="Q23" t="s">
        <v>27</v>
      </c>
      <c r="S23" s="27">
        <v>1860</v>
      </c>
      <c r="T23" s="28">
        <f t="shared" si="2"/>
        <v>4774</v>
      </c>
      <c r="V23" t="str">
        <f t="shared" si="3"/>
        <v>OK</v>
      </c>
    </row>
    <row r="24" spans="1:22">
      <c r="A24" s="6">
        <v>44165</v>
      </c>
      <c r="B24" t="s">
        <v>22</v>
      </c>
      <c r="C24" t="s">
        <v>23</v>
      </c>
      <c r="D24" t="s">
        <v>24</v>
      </c>
      <c r="E24" t="s">
        <v>22</v>
      </c>
      <c r="F24" t="s">
        <v>25</v>
      </c>
      <c r="G24" t="s">
        <v>25</v>
      </c>
      <c r="H24" s="25">
        <v>0.5625</v>
      </c>
      <c r="I24" s="25">
        <v>0.56597222222222221</v>
      </c>
      <c r="J24" s="25">
        <v>0.64097222222222217</v>
      </c>
      <c r="K24" s="25">
        <v>0.64444444444444449</v>
      </c>
      <c r="L24" s="1">
        <f t="shared" si="0"/>
        <v>8.1944444444444486E-2</v>
      </c>
      <c r="M24" s="1">
        <f t="shared" si="1"/>
        <v>7.4999999999999956E-2</v>
      </c>
      <c r="N24" s="26">
        <v>3</v>
      </c>
      <c r="O24" t="s">
        <v>26</v>
      </c>
      <c r="Q24" t="s">
        <v>27</v>
      </c>
      <c r="S24" s="27">
        <v>1860</v>
      </c>
      <c r="T24" s="28">
        <f t="shared" si="2"/>
        <v>3658</v>
      </c>
      <c r="V24" t="str">
        <f t="shared" si="3"/>
        <v>OK</v>
      </c>
    </row>
    <row r="25" spans="1:22">
      <c r="A25" s="6">
        <v>44195</v>
      </c>
      <c r="B25" t="s">
        <v>22</v>
      </c>
      <c r="C25" t="s">
        <v>23</v>
      </c>
      <c r="D25" t="s">
        <v>24</v>
      </c>
      <c r="E25" t="s">
        <v>22</v>
      </c>
      <c r="F25" t="s">
        <v>25</v>
      </c>
      <c r="G25" t="s">
        <v>25</v>
      </c>
      <c r="H25" s="25">
        <v>0.60277777777777775</v>
      </c>
      <c r="I25" s="25">
        <v>0.60625000000000007</v>
      </c>
      <c r="J25" s="25">
        <v>0.6479166666666667</v>
      </c>
      <c r="K25" s="25">
        <v>0.65138888888888891</v>
      </c>
      <c r="L25" s="1">
        <f t="shared" si="0"/>
        <v>4.861111111111116E-2</v>
      </c>
      <c r="M25" s="1">
        <f t="shared" si="1"/>
        <v>4.166666666666663E-2</v>
      </c>
      <c r="N25" s="26">
        <v>3</v>
      </c>
      <c r="O25" t="s">
        <v>26</v>
      </c>
      <c r="Q25" t="s">
        <v>27</v>
      </c>
      <c r="S25" s="27">
        <v>1860</v>
      </c>
      <c r="T25" s="28">
        <f t="shared" si="2"/>
        <v>2170</v>
      </c>
      <c r="V25" t="str">
        <f t="shared" si="3"/>
        <v>OK</v>
      </c>
    </row>
    <row r="26" spans="1:22">
      <c r="A26" s="6">
        <v>44207</v>
      </c>
      <c r="B26" t="s">
        <v>22</v>
      </c>
      <c r="C26" t="s">
        <v>23</v>
      </c>
      <c r="D26" t="s">
        <v>24</v>
      </c>
      <c r="E26" t="s">
        <v>22</v>
      </c>
      <c r="F26" t="s">
        <v>25</v>
      </c>
      <c r="G26" t="s">
        <v>25</v>
      </c>
      <c r="H26" s="25">
        <v>0.54305555555555551</v>
      </c>
      <c r="I26" s="25">
        <v>0.54652777777777783</v>
      </c>
      <c r="J26" s="25">
        <v>0.58819444444444446</v>
      </c>
      <c r="K26" s="25">
        <v>0.59166666666666667</v>
      </c>
      <c r="L26" s="1">
        <f t="shared" si="0"/>
        <v>4.861111111111116E-2</v>
      </c>
      <c r="M26" s="1">
        <f t="shared" si="1"/>
        <v>4.166666666666663E-2</v>
      </c>
      <c r="N26" s="26">
        <v>14</v>
      </c>
      <c r="O26" t="s">
        <v>26</v>
      </c>
      <c r="Q26" t="s">
        <v>27</v>
      </c>
      <c r="S26" s="27">
        <v>1860</v>
      </c>
      <c r="T26" s="28">
        <f t="shared" si="2"/>
        <v>2170</v>
      </c>
      <c r="V26" t="str">
        <f t="shared" si="3"/>
        <v>OK</v>
      </c>
    </row>
    <row r="27" spans="1:22">
      <c r="A27" s="6">
        <v>44228</v>
      </c>
      <c r="B27" t="s">
        <v>22</v>
      </c>
      <c r="C27" t="s">
        <v>23</v>
      </c>
      <c r="D27" t="s">
        <v>24</v>
      </c>
      <c r="E27" t="s">
        <v>22</v>
      </c>
      <c r="F27" t="s">
        <v>25</v>
      </c>
      <c r="G27" t="s">
        <v>25</v>
      </c>
      <c r="H27" s="25">
        <v>0.25972222222222224</v>
      </c>
      <c r="I27" s="25">
        <v>0.26319444444444445</v>
      </c>
      <c r="J27" s="25">
        <v>0.32569444444444445</v>
      </c>
      <c r="K27" s="25">
        <v>0.32916666666666666</v>
      </c>
      <c r="L27" s="1">
        <f t="shared" si="0"/>
        <v>6.944444444444442E-2</v>
      </c>
      <c r="M27" s="1">
        <f t="shared" si="1"/>
        <v>6.25E-2</v>
      </c>
      <c r="N27" s="26">
        <v>10</v>
      </c>
      <c r="O27" t="s">
        <v>26</v>
      </c>
      <c r="Q27" t="s">
        <v>27</v>
      </c>
      <c r="S27" s="27">
        <v>1860</v>
      </c>
      <c r="T27" s="28">
        <f t="shared" si="2"/>
        <v>3100</v>
      </c>
      <c r="V27" t="str">
        <f t="shared" si="3"/>
        <v>OK</v>
      </c>
    </row>
    <row r="28" spans="1:22">
      <c r="A28" s="6">
        <v>44240</v>
      </c>
      <c r="B28" t="s">
        <v>22</v>
      </c>
      <c r="C28" t="s">
        <v>23</v>
      </c>
      <c r="D28" t="s">
        <v>24</v>
      </c>
      <c r="E28" t="s">
        <v>22</v>
      </c>
      <c r="F28" t="s">
        <v>25</v>
      </c>
      <c r="G28" t="s">
        <v>25</v>
      </c>
      <c r="H28" s="25">
        <v>0.46597222222222223</v>
      </c>
      <c r="I28" s="25">
        <v>0.4694444444444445</v>
      </c>
      <c r="J28" s="25">
        <v>0.49027777777777781</v>
      </c>
      <c r="K28" s="25">
        <v>0.49374999999999997</v>
      </c>
      <c r="L28" s="1">
        <f t="shared" si="0"/>
        <v>2.7777777777777735E-2</v>
      </c>
      <c r="M28" s="1">
        <f t="shared" si="1"/>
        <v>2.0833333333333315E-2</v>
      </c>
      <c r="N28" s="26">
        <v>4</v>
      </c>
      <c r="O28" t="s">
        <v>26</v>
      </c>
      <c r="P28" t="s">
        <v>37</v>
      </c>
      <c r="Q28" t="s">
        <v>32</v>
      </c>
      <c r="S28" s="27">
        <v>1860</v>
      </c>
      <c r="T28" s="28">
        <f t="shared" si="2"/>
        <v>1240</v>
      </c>
      <c r="V28" t="str">
        <f t="shared" si="3"/>
        <v>OK</v>
      </c>
    </row>
    <row r="29" spans="1:22">
      <c r="A29" s="6">
        <v>44262</v>
      </c>
      <c r="B29" t="s">
        <v>22</v>
      </c>
      <c r="C29" t="s">
        <v>23</v>
      </c>
      <c r="D29" t="s">
        <v>24</v>
      </c>
      <c r="E29" t="s">
        <v>22</v>
      </c>
      <c r="F29" t="s">
        <v>25</v>
      </c>
      <c r="G29" t="s">
        <v>25</v>
      </c>
      <c r="H29" s="25">
        <v>0.43402777777777773</v>
      </c>
      <c r="I29" s="25">
        <v>0.4375</v>
      </c>
      <c r="J29" s="25">
        <v>0.55833333333333335</v>
      </c>
      <c r="K29" s="25">
        <v>0.56180555555555556</v>
      </c>
      <c r="L29" s="1">
        <f t="shared" si="0"/>
        <v>0.12777777777777782</v>
      </c>
      <c r="M29" s="1">
        <f t="shared" si="1"/>
        <v>0.12083333333333335</v>
      </c>
      <c r="N29" s="26">
        <v>3</v>
      </c>
      <c r="O29" t="s">
        <v>26</v>
      </c>
      <c r="Q29" t="s">
        <v>27</v>
      </c>
      <c r="S29" s="27">
        <v>1860</v>
      </c>
      <c r="T29" s="28">
        <f t="shared" si="2"/>
        <v>5704</v>
      </c>
      <c r="V29" t="str">
        <f t="shared" si="3"/>
        <v>OK</v>
      </c>
    </row>
    <row r="30" spans="1:22">
      <c r="A30" s="6">
        <v>44316</v>
      </c>
      <c r="B30" t="s">
        <v>22</v>
      </c>
      <c r="C30" t="s">
        <v>23</v>
      </c>
      <c r="D30" t="s">
        <v>24</v>
      </c>
      <c r="E30" t="s">
        <v>22</v>
      </c>
      <c r="F30" t="s">
        <v>25</v>
      </c>
      <c r="G30" t="s">
        <v>25</v>
      </c>
      <c r="H30" s="25">
        <v>0.40416666666666662</v>
      </c>
      <c r="I30" s="25">
        <v>0.40763888888888888</v>
      </c>
      <c r="J30" s="25">
        <v>0.4826388888888889</v>
      </c>
      <c r="K30" s="25">
        <v>0.4861111111111111</v>
      </c>
      <c r="L30" s="1">
        <f t="shared" si="0"/>
        <v>8.1944444444444486E-2</v>
      </c>
      <c r="M30" s="1">
        <f t="shared" si="1"/>
        <v>7.5000000000000011E-2</v>
      </c>
      <c r="N30" s="26">
        <v>4</v>
      </c>
      <c r="O30" t="s">
        <v>26</v>
      </c>
      <c r="Q30" t="s">
        <v>27</v>
      </c>
      <c r="S30" s="27">
        <v>1860</v>
      </c>
      <c r="T30" s="28">
        <f t="shared" si="2"/>
        <v>3658</v>
      </c>
      <c r="V30" t="str">
        <f t="shared" si="3"/>
        <v>OK</v>
      </c>
    </row>
    <row r="31" spans="1:22">
      <c r="A31" s="6">
        <v>44340</v>
      </c>
      <c r="B31" t="s">
        <v>22</v>
      </c>
      <c r="C31" t="s">
        <v>23</v>
      </c>
      <c r="D31" t="s">
        <v>24</v>
      </c>
      <c r="E31" t="s">
        <v>22</v>
      </c>
      <c r="F31" t="s">
        <v>25</v>
      </c>
      <c r="G31" t="s">
        <v>25</v>
      </c>
      <c r="H31" s="25">
        <v>0.4916666666666667</v>
      </c>
      <c r="I31" s="25">
        <v>0.49513888888888885</v>
      </c>
      <c r="J31" s="25">
        <v>0.51597222222222217</v>
      </c>
      <c r="K31" s="25">
        <v>0.51944444444444449</v>
      </c>
      <c r="L31" s="1">
        <f t="shared" si="0"/>
        <v>2.777777777777779E-2</v>
      </c>
      <c r="M31" s="1">
        <f t="shared" si="1"/>
        <v>2.0833333333333315E-2</v>
      </c>
      <c r="N31" s="26">
        <v>3</v>
      </c>
      <c r="O31" t="s">
        <v>26</v>
      </c>
      <c r="P31" t="s">
        <v>31</v>
      </c>
      <c r="Q31" t="s">
        <v>32</v>
      </c>
      <c r="S31" s="27">
        <v>1860</v>
      </c>
      <c r="T31" s="28">
        <f t="shared" si="2"/>
        <v>1240</v>
      </c>
      <c r="V31" t="str">
        <f t="shared" si="3"/>
        <v>OK</v>
      </c>
    </row>
    <row r="32" spans="1:22">
      <c r="A32" s="6">
        <v>44340</v>
      </c>
      <c r="B32" t="s">
        <v>22</v>
      </c>
      <c r="C32" t="s">
        <v>23</v>
      </c>
      <c r="D32" t="s">
        <v>24</v>
      </c>
      <c r="E32" t="s">
        <v>22</v>
      </c>
      <c r="F32" t="s">
        <v>25</v>
      </c>
      <c r="G32" t="s">
        <v>25</v>
      </c>
      <c r="H32" s="25">
        <v>0.54305555555555551</v>
      </c>
      <c r="I32" s="25">
        <v>0.54652777777777783</v>
      </c>
      <c r="J32" s="25">
        <v>0.56736111111111109</v>
      </c>
      <c r="K32" s="25">
        <v>0.5708333333333333</v>
      </c>
      <c r="L32" s="1">
        <f t="shared" si="0"/>
        <v>2.777777777777779E-2</v>
      </c>
      <c r="M32" s="1">
        <f t="shared" si="1"/>
        <v>2.0833333333333259E-2</v>
      </c>
      <c r="N32" s="26">
        <v>8</v>
      </c>
      <c r="O32" t="s">
        <v>26</v>
      </c>
      <c r="Q32" t="s">
        <v>27</v>
      </c>
      <c r="S32" s="27">
        <v>1860</v>
      </c>
      <c r="T32" s="28">
        <f t="shared" si="2"/>
        <v>1240</v>
      </c>
      <c r="V32" t="str">
        <f t="shared" si="3"/>
        <v>OK</v>
      </c>
    </row>
    <row r="33" spans="1:22">
      <c r="A33" s="6">
        <v>44352</v>
      </c>
      <c r="B33" t="s">
        <v>22</v>
      </c>
      <c r="C33" t="s">
        <v>23</v>
      </c>
      <c r="D33" t="s">
        <v>24</v>
      </c>
      <c r="E33" t="s">
        <v>22</v>
      </c>
      <c r="F33" t="s">
        <v>25</v>
      </c>
      <c r="G33" t="s">
        <v>38</v>
      </c>
      <c r="H33" s="25">
        <v>0.37083333333333335</v>
      </c>
      <c r="I33" s="25">
        <v>0.3743055555555555</v>
      </c>
      <c r="J33" s="25">
        <v>0.38680555555555557</v>
      </c>
      <c r="K33" s="25">
        <v>0.39027777777777778</v>
      </c>
      <c r="L33" s="1">
        <f t="shared" si="0"/>
        <v>1.9444444444444431E-2</v>
      </c>
      <c r="M33" s="1">
        <f t="shared" si="1"/>
        <v>1.2500000000000067E-2</v>
      </c>
      <c r="N33" s="26">
        <v>1</v>
      </c>
      <c r="O33" t="s">
        <v>26</v>
      </c>
      <c r="Q33" t="s">
        <v>27</v>
      </c>
      <c r="R33" t="s">
        <v>39</v>
      </c>
      <c r="S33" s="27">
        <v>1860</v>
      </c>
      <c r="T33" s="28">
        <f t="shared" si="2"/>
        <v>868</v>
      </c>
      <c r="V33" t="str">
        <f t="shared" si="3"/>
        <v>OK</v>
      </c>
    </row>
    <row r="34" spans="1:22">
      <c r="A34" s="6">
        <v>44352</v>
      </c>
      <c r="B34" t="s">
        <v>22</v>
      </c>
      <c r="C34" t="s">
        <v>23</v>
      </c>
      <c r="D34" t="s">
        <v>24</v>
      </c>
      <c r="E34" t="s">
        <v>22</v>
      </c>
      <c r="F34" t="s">
        <v>38</v>
      </c>
      <c r="G34" t="s">
        <v>25</v>
      </c>
      <c r="H34" s="25">
        <v>0.43124999999999997</v>
      </c>
      <c r="I34" s="25">
        <v>0.43472222222222223</v>
      </c>
      <c r="J34" s="25">
        <v>0.44722222222222219</v>
      </c>
      <c r="K34" s="25">
        <v>0.45069444444444445</v>
      </c>
      <c r="L34" s="1">
        <f t="shared" si="0"/>
        <v>1.9444444444444486E-2</v>
      </c>
      <c r="M34" s="1">
        <f t="shared" si="1"/>
        <v>1.2499999999999956E-2</v>
      </c>
      <c r="N34" s="26">
        <v>1</v>
      </c>
      <c r="O34" t="s">
        <v>26</v>
      </c>
      <c r="Q34" t="s">
        <v>27</v>
      </c>
      <c r="R34" t="s">
        <v>40</v>
      </c>
      <c r="S34" s="27">
        <v>1860</v>
      </c>
      <c r="T34" s="28">
        <f t="shared" si="2"/>
        <v>868</v>
      </c>
      <c r="V34" t="str">
        <f t="shared" si="3"/>
        <v>OK</v>
      </c>
    </row>
    <row r="35" spans="1:22">
      <c r="A35" s="6">
        <v>44358</v>
      </c>
      <c r="B35" t="s">
        <v>22</v>
      </c>
      <c r="C35" t="s">
        <v>23</v>
      </c>
      <c r="D35" t="s">
        <v>24</v>
      </c>
      <c r="E35" t="s">
        <v>22</v>
      </c>
      <c r="F35" t="s">
        <v>25</v>
      </c>
      <c r="G35" t="s">
        <v>41</v>
      </c>
      <c r="H35" s="25">
        <v>0.56736111111111109</v>
      </c>
      <c r="I35" s="25">
        <v>0.5708333333333333</v>
      </c>
      <c r="J35" s="25">
        <v>0.58750000000000002</v>
      </c>
      <c r="K35" s="25">
        <v>0.59097222222222223</v>
      </c>
      <c r="L35" s="1">
        <f t="shared" si="0"/>
        <v>2.3611111111111138E-2</v>
      </c>
      <c r="M35" s="1">
        <f t="shared" si="1"/>
        <v>1.6666666666666718E-2</v>
      </c>
      <c r="N35" s="26">
        <v>1</v>
      </c>
      <c r="O35" t="s">
        <v>26</v>
      </c>
      <c r="Q35" t="s">
        <v>27</v>
      </c>
      <c r="R35" t="s">
        <v>42</v>
      </c>
      <c r="S35" s="27">
        <v>1860</v>
      </c>
      <c r="T35" s="28">
        <f t="shared" si="2"/>
        <v>1054</v>
      </c>
      <c r="V35" t="str">
        <f t="shared" si="3"/>
        <v>OK</v>
      </c>
    </row>
    <row r="36" spans="1:22">
      <c r="A36" s="6">
        <v>44358</v>
      </c>
      <c r="B36" t="s">
        <v>22</v>
      </c>
      <c r="C36" t="s">
        <v>23</v>
      </c>
      <c r="D36" t="s">
        <v>24</v>
      </c>
      <c r="E36" t="s">
        <v>22</v>
      </c>
      <c r="F36" t="s">
        <v>41</v>
      </c>
      <c r="G36" t="s">
        <v>25</v>
      </c>
      <c r="H36" s="25">
        <v>0.60486111111111118</v>
      </c>
      <c r="I36" s="25">
        <v>0.60833333333333328</v>
      </c>
      <c r="J36" s="25">
        <v>0.62916666666666665</v>
      </c>
      <c r="K36" s="25">
        <v>0.63263888888888886</v>
      </c>
      <c r="L36" s="1">
        <f t="shared" si="0"/>
        <v>2.7777777777777679E-2</v>
      </c>
      <c r="M36" s="1">
        <f t="shared" si="1"/>
        <v>2.083333333333337E-2</v>
      </c>
      <c r="N36" s="26">
        <v>1</v>
      </c>
      <c r="O36" t="s">
        <v>26</v>
      </c>
      <c r="Q36" t="s">
        <v>27</v>
      </c>
      <c r="R36" t="s">
        <v>43</v>
      </c>
      <c r="S36" s="27">
        <v>1860</v>
      </c>
      <c r="T36" s="28">
        <f t="shared" si="2"/>
        <v>1240</v>
      </c>
      <c r="V36" t="str">
        <f t="shared" si="3"/>
        <v>OK</v>
      </c>
    </row>
    <row r="37" spans="1:22">
      <c r="A37" s="6">
        <v>44375</v>
      </c>
      <c r="B37" t="s">
        <v>22</v>
      </c>
      <c r="C37" t="s">
        <v>23</v>
      </c>
      <c r="D37" t="s">
        <v>24</v>
      </c>
      <c r="E37" t="s">
        <v>22</v>
      </c>
      <c r="F37" t="s">
        <v>25</v>
      </c>
      <c r="G37" t="s">
        <v>25</v>
      </c>
      <c r="H37" s="25">
        <v>0.69097222222222221</v>
      </c>
      <c r="I37" s="25">
        <v>0.69444444444444453</v>
      </c>
      <c r="J37" s="25">
        <v>0.77361111111111114</v>
      </c>
      <c r="K37" s="25">
        <v>0.77708333333333324</v>
      </c>
      <c r="L37" s="1">
        <f t="shared" si="0"/>
        <v>8.6111111111111027E-2</v>
      </c>
      <c r="M37" s="1">
        <f t="shared" si="1"/>
        <v>7.9166666666666607E-2</v>
      </c>
      <c r="N37" s="26">
        <v>2</v>
      </c>
      <c r="O37" t="s">
        <v>26</v>
      </c>
      <c r="Q37" t="s">
        <v>27</v>
      </c>
      <c r="R37" t="s">
        <v>44</v>
      </c>
      <c r="S37" s="27">
        <v>1860</v>
      </c>
      <c r="T37" s="28">
        <f t="shared" si="2"/>
        <v>3844</v>
      </c>
      <c r="V37" t="str">
        <f t="shared" si="3"/>
        <v>OK</v>
      </c>
    </row>
    <row r="38" spans="1:22">
      <c r="A38" s="6">
        <v>44379</v>
      </c>
      <c r="B38" t="s">
        <v>22</v>
      </c>
      <c r="C38" t="s">
        <v>23</v>
      </c>
      <c r="D38" t="s">
        <v>24</v>
      </c>
      <c r="E38" t="s">
        <v>22</v>
      </c>
      <c r="F38" t="s">
        <v>25</v>
      </c>
      <c r="G38" t="s">
        <v>25</v>
      </c>
      <c r="H38" s="25">
        <v>0.67638888888888893</v>
      </c>
      <c r="I38" s="25">
        <v>0.67986111111111114</v>
      </c>
      <c r="J38" s="25">
        <v>0.69652777777777775</v>
      </c>
      <c r="K38" s="25">
        <v>0.70000000000000007</v>
      </c>
      <c r="L38" s="1">
        <f t="shared" si="0"/>
        <v>2.3611111111111138E-2</v>
      </c>
      <c r="M38" s="1">
        <f t="shared" si="1"/>
        <v>1.6666666666666607E-2</v>
      </c>
      <c r="N38" s="26">
        <v>2</v>
      </c>
      <c r="O38" t="s">
        <v>26</v>
      </c>
      <c r="Q38" t="s">
        <v>27</v>
      </c>
      <c r="S38" s="27">
        <v>1860</v>
      </c>
      <c r="T38" s="28">
        <f t="shared" si="2"/>
        <v>1054</v>
      </c>
      <c r="V38" t="str">
        <f t="shared" si="3"/>
        <v>OK</v>
      </c>
    </row>
    <row r="39" spans="1:22">
      <c r="A39" s="6">
        <v>44384</v>
      </c>
      <c r="B39" t="s">
        <v>22</v>
      </c>
      <c r="C39" t="s">
        <v>23</v>
      </c>
      <c r="D39" t="s">
        <v>24</v>
      </c>
      <c r="E39" t="s">
        <v>22</v>
      </c>
      <c r="F39" t="s">
        <v>25</v>
      </c>
      <c r="G39" t="s">
        <v>25</v>
      </c>
      <c r="H39" s="25">
        <v>0.60416666666666663</v>
      </c>
      <c r="I39" s="25">
        <v>0.60763888888888895</v>
      </c>
      <c r="J39" s="25">
        <v>0.67013888888888884</v>
      </c>
      <c r="K39" s="25">
        <v>0.67361111111111116</v>
      </c>
      <c r="L39" s="1">
        <f t="shared" si="0"/>
        <v>6.9444444444444531E-2</v>
      </c>
      <c r="M39" s="1">
        <f t="shared" si="1"/>
        <v>6.2499999999999889E-2</v>
      </c>
      <c r="N39" s="26">
        <v>4</v>
      </c>
      <c r="O39" t="s">
        <v>26</v>
      </c>
      <c r="Q39" t="s">
        <v>27</v>
      </c>
      <c r="S39" s="27">
        <v>1860</v>
      </c>
      <c r="T39" s="28">
        <f t="shared" si="2"/>
        <v>3100</v>
      </c>
      <c r="V39" t="str">
        <f t="shared" si="3"/>
        <v>OK</v>
      </c>
    </row>
    <row r="40" spans="1:22">
      <c r="A40" s="6">
        <v>44387</v>
      </c>
      <c r="B40" t="s">
        <v>22</v>
      </c>
      <c r="C40" t="s">
        <v>23</v>
      </c>
      <c r="D40" t="s">
        <v>24</v>
      </c>
      <c r="E40" t="s">
        <v>22</v>
      </c>
      <c r="F40" t="s">
        <v>25</v>
      </c>
      <c r="G40" t="s">
        <v>25</v>
      </c>
      <c r="H40" s="25">
        <v>0.75</v>
      </c>
      <c r="I40" s="25">
        <v>0.75347222222222221</v>
      </c>
      <c r="J40" s="25">
        <v>0.77430555555555547</v>
      </c>
      <c r="K40" s="25">
        <v>0.77777777777777779</v>
      </c>
      <c r="L40" s="1">
        <f t="shared" si="0"/>
        <v>2.777777777777779E-2</v>
      </c>
      <c r="M40" s="1">
        <f t="shared" si="1"/>
        <v>2.0833333333333259E-2</v>
      </c>
      <c r="N40" s="26">
        <v>1</v>
      </c>
      <c r="O40" t="s">
        <v>26</v>
      </c>
      <c r="Q40" t="s">
        <v>27</v>
      </c>
      <c r="S40" s="27">
        <v>1860</v>
      </c>
      <c r="T40" s="28">
        <f t="shared" si="2"/>
        <v>1240</v>
      </c>
      <c r="V40" t="str">
        <f t="shared" si="3"/>
        <v>OK</v>
      </c>
    </row>
    <row r="41" spans="1:22">
      <c r="A41" s="6">
        <v>44389</v>
      </c>
      <c r="B41" t="s">
        <v>22</v>
      </c>
      <c r="C41" t="s">
        <v>23</v>
      </c>
      <c r="D41" t="s">
        <v>24</v>
      </c>
      <c r="E41" t="s">
        <v>22</v>
      </c>
      <c r="F41" t="s">
        <v>25</v>
      </c>
      <c r="G41" t="s">
        <v>45</v>
      </c>
      <c r="H41" s="25">
        <v>0.7597222222222223</v>
      </c>
      <c r="I41" s="25">
        <v>0.7631944444444444</v>
      </c>
      <c r="J41" s="25">
        <v>0.78819444444444453</v>
      </c>
      <c r="K41" s="25">
        <v>0.79166666666666663</v>
      </c>
      <c r="L41" s="1">
        <f t="shared" si="0"/>
        <v>3.1944444444444331E-2</v>
      </c>
      <c r="M41" s="1">
        <f t="shared" si="1"/>
        <v>2.5000000000000133E-2</v>
      </c>
      <c r="N41" s="26">
        <v>1</v>
      </c>
      <c r="O41" t="s">
        <v>26</v>
      </c>
      <c r="Q41" t="s">
        <v>27</v>
      </c>
      <c r="S41" s="27">
        <v>1860</v>
      </c>
      <c r="T41" s="28">
        <f t="shared" si="2"/>
        <v>1426</v>
      </c>
      <c r="V41" t="str">
        <f t="shared" si="3"/>
        <v>OK</v>
      </c>
    </row>
    <row r="42" spans="1:22">
      <c r="A42" s="6">
        <v>44390</v>
      </c>
      <c r="B42" t="s">
        <v>22</v>
      </c>
      <c r="C42" t="s">
        <v>23</v>
      </c>
      <c r="D42" t="s">
        <v>24</v>
      </c>
      <c r="E42" t="s">
        <v>22</v>
      </c>
      <c r="F42" t="s">
        <v>45</v>
      </c>
      <c r="G42" t="s">
        <v>25</v>
      </c>
      <c r="H42" s="25">
        <v>0.34375</v>
      </c>
      <c r="I42" s="25">
        <v>0.34722222222222227</v>
      </c>
      <c r="J42" s="25">
        <v>0.38055555555555554</v>
      </c>
      <c r="K42" s="25">
        <v>0.3840277777777778</v>
      </c>
      <c r="L42" s="1">
        <f t="shared" si="0"/>
        <v>4.0277777777777801E-2</v>
      </c>
      <c r="M42" s="1">
        <f t="shared" si="1"/>
        <v>3.333333333333327E-2</v>
      </c>
      <c r="N42" s="26">
        <v>2</v>
      </c>
      <c r="O42" t="s">
        <v>26</v>
      </c>
      <c r="Q42" t="s">
        <v>27</v>
      </c>
      <c r="S42" s="27">
        <v>1860</v>
      </c>
      <c r="T42" s="28">
        <f t="shared" si="2"/>
        <v>1798</v>
      </c>
      <c r="V42" t="str">
        <f t="shared" si="3"/>
        <v>OK</v>
      </c>
    </row>
    <row r="43" spans="1:22">
      <c r="A43" s="6">
        <v>44407</v>
      </c>
      <c r="B43" t="s">
        <v>22</v>
      </c>
      <c r="C43" t="s">
        <v>23</v>
      </c>
      <c r="D43" t="s">
        <v>24</v>
      </c>
      <c r="E43" t="s">
        <v>22</v>
      </c>
      <c r="F43" t="s">
        <v>25</v>
      </c>
      <c r="G43" t="s">
        <v>25</v>
      </c>
      <c r="H43" s="25">
        <v>0.34930555555555554</v>
      </c>
      <c r="I43" s="25">
        <v>0.3520833333333333</v>
      </c>
      <c r="J43" s="25">
        <v>0.49374999999999997</v>
      </c>
      <c r="K43" s="25">
        <v>0.49722222222222223</v>
      </c>
      <c r="L43" s="1">
        <f t="shared" si="0"/>
        <v>0.1479166666666667</v>
      </c>
      <c r="M43" s="1">
        <f t="shared" si="1"/>
        <v>0.14166666666666666</v>
      </c>
      <c r="N43" s="26">
        <v>3</v>
      </c>
      <c r="O43" t="s">
        <v>26</v>
      </c>
      <c r="Q43" t="s">
        <v>27</v>
      </c>
      <c r="R43" t="s">
        <v>46</v>
      </c>
      <c r="S43" s="27">
        <v>1860</v>
      </c>
      <c r="T43" s="28">
        <f t="shared" si="2"/>
        <v>6603</v>
      </c>
      <c r="V43" t="str">
        <f t="shared" si="3"/>
        <v>OK</v>
      </c>
    </row>
    <row r="44" spans="1:22">
      <c r="A44" s="6">
        <v>44422</v>
      </c>
      <c r="B44" t="s">
        <v>22</v>
      </c>
      <c r="C44" t="s">
        <v>23</v>
      </c>
      <c r="D44" t="s">
        <v>24</v>
      </c>
      <c r="E44" t="s">
        <v>22</v>
      </c>
      <c r="F44" t="s">
        <v>25</v>
      </c>
      <c r="G44" t="s">
        <v>25</v>
      </c>
      <c r="H44" s="25">
        <v>0.61875000000000002</v>
      </c>
      <c r="I44" s="25">
        <v>0.62222222222222223</v>
      </c>
      <c r="J44" s="25">
        <v>0.65555555555555556</v>
      </c>
      <c r="K44" s="25">
        <v>0.65902777777777777</v>
      </c>
      <c r="L44" s="1">
        <f t="shared" si="0"/>
        <v>4.0277777777777746E-2</v>
      </c>
      <c r="M44" s="1">
        <f t="shared" si="1"/>
        <v>3.3333333333333326E-2</v>
      </c>
      <c r="N44" s="26">
        <v>2</v>
      </c>
      <c r="O44" t="s">
        <v>26</v>
      </c>
      <c r="Q44" t="s">
        <v>27</v>
      </c>
      <c r="R44" t="s">
        <v>47</v>
      </c>
      <c r="S44" s="27">
        <v>1860</v>
      </c>
      <c r="T44" s="28">
        <f t="shared" si="2"/>
        <v>1798</v>
      </c>
      <c r="V44" t="str">
        <f t="shared" si="3"/>
        <v>OK</v>
      </c>
    </row>
    <row r="45" spans="1:22">
      <c r="A45" s="6">
        <v>44429</v>
      </c>
      <c r="B45" t="s">
        <v>22</v>
      </c>
      <c r="C45" t="s">
        <v>23</v>
      </c>
      <c r="D45" t="s">
        <v>24</v>
      </c>
      <c r="E45" t="s">
        <v>22</v>
      </c>
      <c r="F45" t="s">
        <v>25</v>
      </c>
      <c r="G45" t="s">
        <v>25</v>
      </c>
      <c r="H45" s="25">
        <v>0.69444444444444453</v>
      </c>
      <c r="I45" s="25">
        <v>0.69791666666666663</v>
      </c>
      <c r="J45" s="25">
        <v>0.7270833333333333</v>
      </c>
      <c r="K45" s="25">
        <v>0.73055555555555562</v>
      </c>
      <c r="L45" s="1">
        <f t="shared" si="0"/>
        <v>3.6111111111111094E-2</v>
      </c>
      <c r="M45" s="1">
        <f t="shared" si="1"/>
        <v>2.9166666666666674E-2</v>
      </c>
      <c r="N45" s="26">
        <v>2</v>
      </c>
      <c r="O45" t="s">
        <v>26</v>
      </c>
      <c r="Q45" t="s">
        <v>27</v>
      </c>
      <c r="S45" s="27">
        <v>1860</v>
      </c>
      <c r="T45" s="28">
        <f t="shared" si="2"/>
        <v>1612</v>
      </c>
      <c r="V45" t="str">
        <f t="shared" si="3"/>
        <v>OK</v>
      </c>
    </row>
    <row r="46" spans="1:22">
      <c r="A46" s="6">
        <v>44433</v>
      </c>
      <c r="B46" t="s">
        <v>22</v>
      </c>
      <c r="C46" t="s">
        <v>23</v>
      </c>
      <c r="D46" t="s">
        <v>24</v>
      </c>
      <c r="E46" t="s">
        <v>22</v>
      </c>
      <c r="F46" t="s">
        <v>25</v>
      </c>
      <c r="G46" t="s">
        <v>25</v>
      </c>
      <c r="H46" s="25">
        <v>0.46875</v>
      </c>
      <c r="I46" s="25">
        <v>0.47222222222222227</v>
      </c>
      <c r="J46" s="25">
        <v>0.53472222222222221</v>
      </c>
      <c r="K46" s="25">
        <v>0.53819444444444442</v>
      </c>
      <c r="L46" s="1">
        <f t="shared" si="0"/>
        <v>6.944444444444442E-2</v>
      </c>
      <c r="M46" s="1">
        <f t="shared" si="1"/>
        <v>6.2499999999999944E-2</v>
      </c>
      <c r="N46" s="26">
        <v>1</v>
      </c>
      <c r="O46" t="s">
        <v>26</v>
      </c>
      <c r="Q46" t="s">
        <v>27</v>
      </c>
      <c r="S46" s="27">
        <v>1860</v>
      </c>
      <c r="T46" s="28">
        <f t="shared" si="2"/>
        <v>3100</v>
      </c>
      <c r="V46" t="str">
        <f t="shared" si="3"/>
        <v>OK</v>
      </c>
    </row>
    <row r="47" spans="1:22">
      <c r="A47" s="6">
        <v>44447</v>
      </c>
      <c r="B47" t="s">
        <v>22</v>
      </c>
      <c r="C47" t="s">
        <v>23</v>
      </c>
      <c r="D47" t="s">
        <v>24</v>
      </c>
      <c r="E47" t="s">
        <v>22</v>
      </c>
      <c r="F47" t="s">
        <v>25</v>
      </c>
      <c r="G47" t="s">
        <v>25</v>
      </c>
      <c r="H47" s="25">
        <v>0.56319444444444444</v>
      </c>
      <c r="I47" s="25">
        <v>0.56666666666666665</v>
      </c>
      <c r="J47" s="25">
        <v>0.6</v>
      </c>
      <c r="K47" s="25">
        <v>0.60347222222222219</v>
      </c>
      <c r="L47" s="1">
        <f t="shared" si="0"/>
        <v>4.0277777777777746E-2</v>
      </c>
      <c r="M47" s="1">
        <f t="shared" si="1"/>
        <v>3.3333333333333326E-2</v>
      </c>
      <c r="N47" s="26">
        <v>1</v>
      </c>
      <c r="O47" t="s">
        <v>26</v>
      </c>
      <c r="Q47" t="s">
        <v>27</v>
      </c>
      <c r="S47" s="27">
        <v>1860</v>
      </c>
      <c r="T47" s="28">
        <f t="shared" si="2"/>
        <v>1798</v>
      </c>
      <c r="V47" t="str">
        <f t="shared" si="3"/>
        <v>OK</v>
      </c>
    </row>
    <row r="48" spans="1:22">
      <c r="A48" s="6">
        <v>44450</v>
      </c>
      <c r="B48" t="s">
        <v>48</v>
      </c>
      <c r="C48" t="s">
        <v>49</v>
      </c>
      <c r="D48" t="s">
        <v>50</v>
      </c>
      <c r="E48" t="s">
        <v>51</v>
      </c>
      <c r="F48" t="s">
        <v>25</v>
      </c>
      <c r="G48" t="s">
        <v>25</v>
      </c>
      <c r="H48" s="25">
        <v>0.63194444444444442</v>
      </c>
      <c r="I48" s="25">
        <v>0.63541666666666663</v>
      </c>
      <c r="J48" s="25">
        <v>0.65486111111111112</v>
      </c>
      <c r="K48" s="25">
        <v>0.65833333333333333</v>
      </c>
      <c r="L48" s="1">
        <f t="shared" si="0"/>
        <v>2.6388888888888906E-2</v>
      </c>
      <c r="M48" s="1">
        <f t="shared" si="1"/>
        <v>1.9444444444444486E-2</v>
      </c>
      <c r="N48" s="26">
        <v>1</v>
      </c>
      <c r="O48" t="s">
        <v>26</v>
      </c>
      <c r="P48" t="s">
        <v>52</v>
      </c>
      <c r="Q48" t="s">
        <v>32</v>
      </c>
      <c r="R48" t="s">
        <v>53</v>
      </c>
      <c r="S48" s="27">
        <v>3060</v>
      </c>
      <c r="T48" s="28">
        <f t="shared" si="2"/>
        <v>1938</v>
      </c>
      <c r="V48" t="str">
        <f t="shared" si="3"/>
        <v>OK</v>
      </c>
    </row>
    <row r="49" spans="1:22">
      <c r="A49" s="6">
        <v>44451</v>
      </c>
      <c r="B49" t="s">
        <v>48</v>
      </c>
      <c r="C49" t="s">
        <v>49</v>
      </c>
      <c r="D49" t="s">
        <v>50</v>
      </c>
      <c r="E49" t="s">
        <v>51</v>
      </c>
      <c r="F49" t="s">
        <v>25</v>
      </c>
      <c r="G49" t="s">
        <v>25</v>
      </c>
      <c r="H49" s="25">
        <v>0.44791666666666669</v>
      </c>
      <c r="I49" s="25">
        <v>0.4513888888888889</v>
      </c>
      <c r="J49" s="25">
        <v>0.50347222222222221</v>
      </c>
      <c r="K49" s="25">
        <v>0.50694444444444442</v>
      </c>
      <c r="L49" s="1">
        <f t="shared" si="0"/>
        <v>5.9027777777777735E-2</v>
      </c>
      <c r="M49" s="1">
        <f t="shared" si="1"/>
        <v>5.2083333333333315E-2</v>
      </c>
      <c r="N49" s="26">
        <v>10</v>
      </c>
      <c r="O49" t="s">
        <v>26</v>
      </c>
      <c r="P49" t="s">
        <v>52</v>
      </c>
      <c r="Q49" t="s">
        <v>32</v>
      </c>
      <c r="R49" t="s">
        <v>54</v>
      </c>
      <c r="S49" s="27">
        <v>3060</v>
      </c>
      <c r="T49" s="28">
        <f t="shared" si="2"/>
        <v>4335</v>
      </c>
      <c r="V49" t="str">
        <f t="shared" si="3"/>
        <v>OK</v>
      </c>
    </row>
    <row r="50" spans="1:22">
      <c r="A50" s="6">
        <v>44465</v>
      </c>
      <c r="B50" t="s">
        <v>22</v>
      </c>
      <c r="C50" t="s">
        <v>23</v>
      </c>
      <c r="D50" t="s">
        <v>24</v>
      </c>
      <c r="E50" t="s">
        <v>22</v>
      </c>
      <c r="F50" t="s">
        <v>25</v>
      </c>
      <c r="G50" t="s">
        <v>25</v>
      </c>
      <c r="H50" s="25">
        <v>0.55138888888888882</v>
      </c>
      <c r="I50" s="25">
        <v>0.55486111111111114</v>
      </c>
      <c r="J50" s="25">
        <v>0.58819444444444446</v>
      </c>
      <c r="K50" s="25">
        <v>0.59166666666666667</v>
      </c>
      <c r="L50" s="1">
        <f t="shared" si="0"/>
        <v>4.0277777777777857E-2</v>
      </c>
      <c r="M50" s="1">
        <f t="shared" si="1"/>
        <v>3.3333333333333326E-2</v>
      </c>
      <c r="N50" s="26">
        <v>1</v>
      </c>
      <c r="O50" t="s">
        <v>26</v>
      </c>
      <c r="Q50" t="s">
        <v>27</v>
      </c>
      <c r="S50" s="27">
        <v>1860</v>
      </c>
      <c r="T50" s="28">
        <f t="shared" si="2"/>
        <v>1798</v>
      </c>
      <c r="V50" t="str">
        <f t="shared" si="3"/>
        <v>OK</v>
      </c>
    </row>
    <row r="51" spans="1:22">
      <c r="A51" s="6">
        <v>44465</v>
      </c>
      <c r="B51" t="s">
        <v>22</v>
      </c>
      <c r="C51" t="s">
        <v>23</v>
      </c>
      <c r="D51" t="s">
        <v>24</v>
      </c>
      <c r="E51" t="s">
        <v>22</v>
      </c>
      <c r="F51" t="s">
        <v>25</v>
      </c>
      <c r="G51" t="s">
        <v>25</v>
      </c>
      <c r="H51" s="25">
        <v>0.68263888888888891</v>
      </c>
      <c r="I51" s="25">
        <v>0.68611111111111101</v>
      </c>
      <c r="J51" s="25">
        <v>0.70694444444444438</v>
      </c>
      <c r="K51" s="25">
        <v>0.7104166666666667</v>
      </c>
      <c r="L51" s="1">
        <f t="shared" si="0"/>
        <v>2.777777777777779E-2</v>
      </c>
      <c r="M51" s="1">
        <f t="shared" si="1"/>
        <v>2.083333333333337E-2</v>
      </c>
      <c r="N51" s="26">
        <v>4</v>
      </c>
      <c r="O51" t="s">
        <v>26</v>
      </c>
      <c r="Q51" t="s">
        <v>27</v>
      </c>
      <c r="S51" s="27">
        <v>1860</v>
      </c>
      <c r="T51" s="28">
        <f t="shared" si="2"/>
        <v>1240</v>
      </c>
      <c r="V51" t="str">
        <f t="shared" si="3"/>
        <v>OK</v>
      </c>
    </row>
    <row r="52" spans="1:22">
      <c r="A52" s="6">
        <v>44466</v>
      </c>
      <c r="B52" t="s">
        <v>48</v>
      </c>
      <c r="C52" t="s">
        <v>55</v>
      </c>
      <c r="D52" t="s">
        <v>50</v>
      </c>
      <c r="E52" t="s">
        <v>51</v>
      </c>
      <c r="F52" t="s">
        <v>25</v>
      </c>
      <c r="G52" t="s">
        <v>25</v>
      </c>
      <c r="H52" s="25">
        <v>0.57499999999999996</v>
      </c>
      <c r="I52" s="25">
        <v>0.57847222222222228</v>
      </c>
      <c r="J52" s="25">
        <v>0.62152777777777779</v>
      </c>
      <c r="K52" s="25">
        <v>0.625</v>
      </c>
      <c r="L52" s="1">
        <f t="shared" si="0"/>
        <v>5.0000000000000044E-2</v>
      </c>
      <c r="M52" s="1">
        <f t="shared" si="1"/>
        <v>4.3055555555555514E-2</v>
      </c>
      <c r="N52" s="26">
        <v>11</v>
      </c>
      <c r="O52" t="s">
        <v>26</v>
      </c>
      <c r="P52" t="s">
        <v>52</v>
      </c>
      <c r="Q52" t="s">
        <v>32</v>
      </c>
      <c r="R52" t="s">
        <v>56</v>
      </c>
      <c r="S52" s="27">
        <v>2700</v>
      </c>
      <c r="T52" s="28">
        <f t="shared" si="2"/>
        <v>3240</v>
      </c>
      <c r="V52" t="str">
        <f t="shared" si="3"/>
        <v>OK</v>
      </c>
    </row>
    <row r="53" spans="1:22">
      <c r="A53" s="6">
        <v>44472</v>
      </c>
      <c r="B53" t="s">
        <v>22</v>
      </c>
      <c r="C53" t="s">
        <v>23</v>
      </c>
      <c r="D53" t="s">
        <v>24</v>
      </c>
      <c r="E53" t="s">
        <v>22</v>
      </c>
      <c r="F53" t="s">
        <v>25</v>
      </c>
      <c r="G53" t="s">
        <v>25</v>
      </c>
      <c r="H53" s="25">
        <v>0.54652777777777783</v>
      </c>
      <c r="I53" s="25">
        <v>0.54999999999999993</v>
      </c>
      <c r="J53" s="25">
        <v>0.59583333333333333</v>
      </c>
      <c r="K53" s="25">
        <v>0.59930555555555554</v>
      </c>
      <c r="L53" s="1">
        <f t="shared" si="0"/>
        <v>5.2777777777777701E-2</v>
      </c>
      <c r="M53" s="1">
        <f t="shared" si="1"/>
        <v>4.5833333333333393E-2</v>
      </c>
      <c r="N53" s="26">
        <v>2</v>
      </c>
      <c r="O53" t="s">
        <v>26</v>
      </c>
      <c r="Q53" t="s">
        <v>27</v>
      </c>
      <c r="S53" s="27">
        <v>1860</v>
      </c>
      <c r="T53" s="28">
        <f t="shared" si="2"/>
        <v>2356</v>
      </c>
      <c r="V53" t="str">
        <f t="shared" si="3"/>
        <v>OK</v>
      </c>
    </row>
    <row r="54" spans="1:22">
      <c r="A54" s="6">
        <v>44477</v>
      </c>
      <c r="B54" t="s">
        <v>48</v>
      </c>
      <c r="C54" t="s">
        <v>55</v>
      </c>
      <c r="D54" t="s">
        <v>50</v>
      </c>
      <c r="E54" t="s">
        <v>51</v>
      </c>
      <c r="F54" t="s">
        <v>25</v>
      </c>
      <c r="G54" t="s">
        <v>25</v>
      </c>
      <c r="H54" s="25">
        <v>0.52361111111111114</v>
      </c>
      <c r="I54" s="25">
        <v>0.52708333333333335</v>
      </c>
      <c r="J54" s="25">
        <v>0.54513888888888884</v>
      </c>
      <c r="K54" s="25">
        <v>0.54861111111111116</v>
      </c>
      <c r="L54" s="1">
        <f t="shared" si="0"/>
        <v>2.5000000000000022E-2</v>
      </c>
      <c r="M54" s="1">
        <f t="shared" si="1"/>
        <v>1.8055555555555491E-2</v>
      </c>
      <c r="N54" s="26">
        <v>7</v>
      </c>
      <c r="O54" t="s">
        <v>26</v>
      </c>
      <c r="P54" t="s">
        <v>52</v>
      </c>
      <c r="Q54" t="s">
        <v>32</v>
      </c>
      <c r="R54" t="s">
        <v>57</v>
      </c>
      <c r="S54" s="27">
        <v>2700</v>
      </c>
      <c r="T54" s="28">
        <f t="shared" si="2"/>
        <v>1620</v>
      </c>
      <c r="V54" t="str">
        <f t="shared" si="3"/>
        <v>OK</v>
      </c>
    </row>
    <row r="55" spans="1:22">
      <c r="A55" s="6">
        <v>44477</v>
      </c>
      <c r="B55" t="s">
        <v>48</v>
      </c>
      <c r="C55" t="s">
        <v>55</v>
      </c>
      <c r="D55" t="s">
        <v>50</v>
      </c>
      <c r="E55" t="s">
        <v>51</v>
      </c>
      <c r="F55" t="s">
        <v>25</v>
      </c>
      <c r="G55" t="s">
        <v>25</v>
      </c>
      <c r="H55" s="25">
        <v>0.55902777777777779</v>
      </c>
      <c r="I55" s="25">
        <v>0.55902777777777779</v>
      </c>
      <c r="J55" s="25">
        <v>0.56527777777777777</v>
      </c>
      <c r="K55" s="25">
        <v>0.56527777777777777</v>
      </c>
      <c r="L55" s="1">
        <f t="shared" si="0"/>
        <v>6.2499999999999778E-3</v>
      </c>
      <c r="M55" s="1">
        <f t="shared" si="1"/>
        <v>6.2499999999999778E-3</v>
      </c>
      <c r="N55" s="26">
        <v>5</v>
      </c>
      <c r="O55" t="s">
        <v>26</v>
      </c>
      <c r="Q55" t="s">
        <v>27</v>
      </c>
      <c r="R55" t="s">
        <v>58</v>
      </c>
      <c r="S55" s="27">
        <v>2700</v>
      </c>
      <c r="T55" s="28">
        <f t="shared" si="2"/>
        <v>405</v>
      </c>
      <c r="V55" t="str">
        <f t="shared" si="3"/>
        <v>OK</v>
      </c>
    </row>
    <row r="56" spans="1:22">
      <c r="A56" s="6">
        <v>44477</v>
      </c>
      <c r="B56" t="s">
        <v>48</v>
      </c>
      <c r="C56" t="s">
        <v>55</v>
      </c>
      <c r="D56" t="s">
        <v>50</v>
      </c>
      <c r="E56" t="s">
        <v>51</v>
      </c>
      <c r="F56" t="s">
        <v>25</v>
      </c>
      <c r="G56" t="s">
        <v>25</v>
      </c>
      <c r="H56" s="25">
        <v>0.56527777777777777</v>
      </c>
      <c r="I56" s="25">
        <v>0.56527777777777777</v>
      </c>
      <c r="J56" s="25">
        <v>0.57152777777777775</v>
      </c>
      <c r="K56" s="25">
        <v>0.57152777777777775</v>
      </c>
      <c r="L56" s="1">
        <f t="shared" si="0"/>
        <v>6.2499999999999778E-3</v>
      </c>
      <c r="M56" s="1">
        <f t="shared" si="1"/>
        <v>6.2499999999999778E-3</v>
      </c>
      <c r="N56" s="26">
        <v>11</v>
      </c>
      <c r="O56" t="s">
        <v>26</v>
      </c>
      <c r="Q56" t="s">
        <v>27</v>
      </c>
      <c r="R56" t="s">
        <v>59</v>
      </c>
      <c r="S56" s="27">
        <v>2700</v>
      </c>
      <c r="T56" s="28">
        <f t="shared" si="2"/>
        <v>405</v>
      </c>
      <c r="V56" t="str">
        <f t="shared" si="3"/>
        <v>OK</v>
      </c>
    </row>
    <row r="57" spans="1:22">
      <c r="A57" s="6">
        <v>44485</v>
      </c>
      <c r="B57" t="s">
        <v>48</v>
      </c>
      <c r="C57" t="s">
        <v>49</v>
      </c>
      <c r="D57" t="s">
        <v>50</v>
      </c>
      <c r="E57" t="s">
        <v>51</v>
      </c>
      <c r="F57" t="s">
        <v>25</v>
      </c>
      <c r="G57" t="s">
        <v>60</v>
      </c>
      <c r="H57" s="25">
        <v>0.48888888888888887</v>
      </c>
      <c r="I57" s="25">
        <v>0.49236111111111114</v>
      </c>
      <c r="J57" s="25">
        <v>0.51041666666666663</v>
      </c>
      <c r="K57" s="25">
        <v>0.51041666666666663</v>
      </c>
      <c r="L57" s="1">
        <f t="shared" si="0"/>
        <v>2.1527777777777757E-2</v>
      </c>
      <c r="M57" s="1">
        <f t="shared" si="1"/>
        <v>1.8055555555555491E-2</v>
      </c>
      <c r="N57" s="26">
        <v>7</v>
      </c>
      <c r="O57" t="s">
        <v>26</v>
      </c>
      <c r="P57" t="s">
        <v>52</v>
      </c>
      <c r="Q57" t="s">
        <v>32</v>
      </c>
      <c r="R57" s="7" t="s">
        <v>61</v>
      </c>
      <c r="S57" s="27">
        <v>3060</v>
      </c>
      <c r="T57" s="28">
        <f t="shared" si="2"/>
        <v>1581</v>
      </c>
      <c r="V57" t="str">
        <f t="shared" si="3"/>
        <v>OK</v>
      </c>
    </row>
    <row r="58" spans="1:22">
      <c r="A58" s="6">
        <v>44485</v>
      </c>
      <c r="B58" t="s">
        <v>48</v>
      </c>
      <c r="C58" t="s">
        <v>49</v>
      </c>
      <c r="D58" t="s">
        <v>50</v>
      </c>
      <c r="E58" t="s">
        <v>51</v>
      </c>
      <c r="F58" t="s">
        <v>60</v>
      </c>
      <c r="G58" t="s">
        <v>62</v>
      </c>
      <c r="H58" s="25">
        <v>0.51041666666666663</v>
      </c>
      <c r="I58" s="25">
        <v>0.51041666666666663</v>
      </c>
      <c r="J58" s="25">
        <v>0.53263888888888888</v>
      </c>
      <c r="K58" s="25">
        <v>0.53263888888888888</v>
      </c>
      <c r="L58" s="1">
        <f t="shared" si="0"/>
        <v>2.2222222222222254E-2</v>
      </c>
      <c r="M58" s="1">
        <f t="shared" si="1"/>
        <v>2.2222222222222254E-2</v>
      </c>
      <c r="N58" s="26">
        <v>1</v>
      </c>
      <c r="O58" t="s">
        <v>26</v>
      </c>
      <c r="P58" t="s">
        <v>52</v>
      </c>
      <c r="Q58" t="s">
        <v>32</v>
      </c>
      <c r="R58">
        <v>16</v>
      </c>
      <c r="S58" s="27">
        <v>3060</v>
      </c>
      <c r="T58" s="28">
        <f t="shared" si="2"/>
        <v>1632</v>
      </c>
      <c r="V58" t="str">
        <f t="shared" si="3"/>
        <v>OK</v>
      </c>
    </row>
    <row r="59" spans="1:22">
      <c r="A59" s="6">
        <v>44485</v>
      </c>
      <c r="B59" t="s">
        <v>48</v>
      </c>
      <c r="C59" t="s">
        <v>49</v>
      </c>
      <c r="D59" t="s">
        <v>50</v>
      </c>
      <c r="E59" t="s">
        <v>51</v>
      </c>
      <c r="F59" t="s">
        <v>62</v>
      </c>
      <c r="G59" t="s">
        <v>25</v>
      </c>
      <c r="H59" s="25">
        <v>0.53263888888888888</v>
      </c>
      <c r="I59" s="25">
        <v>0.53263888888888888</v>
      </c>
      <c r="J59" s="25">
        <v>0.5625</v>
      </c>
      <c r="K59" s="25">
        <v>0.56597222222222221</v>
      </c>
      <c r="L59" s="1">
        <f t="shared" si="0"/>
        <v>3.3333333333333326E-2</v>
      </c>
      <c r="M59" s="1">
        <f t="shared" si="1"/>
        <v>2.9861111111111116E-2</v>
      </c>
      <c r="N59" s="26">
        <v>2</v>
      </c>
      <c r="O59" t="s">
        <v>26</v>
      </c>
      <c r="P59" t="s">
        <v>52</v>
      </c>
      <c r="Q59" t="s">
        <v>32</v>
      </c>
      <c r="R59">
        <v>17</v>
      </c>
      <c r="S59" s="27">
        <v>3060</v>
      </c>
      <c r="T59" s="28">
        <f t="shared" si="2"/>
        <v>2448</v>
      </c>
      <c r="V59" t="str">
        <f t="shared" si="3"/>
        <v>OK</v>
      </c>
    </row>
    <row r="60" spans="1:22">
      <c r="A60" s="6">
        <v>44493</v>
      </c>
      <c r="B60" t="s">
        <v>22</v>
      </c>
      <c r="C60" t="s">
        <v>23</v>
      </c>
      <c r="D60" t="s">
        <v>24</v>
      </c>
      <c r="E60" t="s">
        <v>22</v>
      </c>
      <c r="F60" t="s">
        <v>25</v>
      </c>
      <c r="G60" t="s">
        <v>63</v>
      </c>
      <c r="H60" s="25">
        <v>0.41666666666666669</v>
      </c>
      <c r="I60" s="25">
        <v>0.4201388888888889</v>
      </c>
      <c r="J60" s="25">
        <v>0.51597222222222217</v>
      </c>
      <c r="K60" s="25">
        <v>0.51944444444444449</v>
      </c>
      <c r="L60" s="1">
        <f t="shared" si="0"/>
        <v>0.1027777777777778</v>
      </c>
      <c r="M60" s="1">
        <f t="shared" si="1"/>
        <v>9.583333333333327E-2</v>
      </c>
      <c r="N60" s="26">
        <v>1</v>
      </c>
      <c r="O60" t="s">
        <v>26</v>
      </c>
      <c r="Q60" t="s">
        <v>27</v>
      </c>
      <c r="R60" t="s">
        <v>64</v>
      </c>
      <c r="S60" s="27">
        <v>1860</v>
      </c>
      <c r="T60" s="28">
        <f t="shared" si="2"/>
        <v>4588</v>
      </c>
      <c r="V60" t="str">
        <f t="shared" si="3"/>
        <v>OK</v>
      </c>
    </row>
    <row r="61" spans="1:22">
      <c r="A61" s="6">
        <v>44494</v>
      </c>
      <c r="B61" t="s">
        <v>22</v>
      </c>
      <c r="C61" t="s">
        <v>23</v>
      </c>
      <c r="D61" t="s">
        <v>24</v>
      </c>
      <c r="E61" t="s">
        <v>22</v>
      </c>
      <c r="F61" t="s">
        <v>63</v>
      </c>
      <c r="G61" t="s">
        <v>25</v>
      </c>
      <c r="H61" s="25">
        <v>0.47916666666666669</v>
      </c>
      <c r="I61" s="25">
        <v>0.4826388888888889</v>
      </c>
      <c r="J61" s="25">
        <v>0.55763888888888891</v>
      </c>
      <c r="K61" s="25">
        <v>0.56111111111111112</v>
      </c>
      <c r="L61" s="1">
        <f t="shared" si="0"/>
        <v>8.1944444444444431E-2</v>
      </c>
      <c r="M61" s="1">
        <f t="shared" si="1"/>
        <v>7.5000000000000011E-2</v>
      </c>
      <c r="N61" s="26">
        <v>1</v>
      </c>
      <c r="O61" t="s">
        <v>26</v>
      </c>
      <c r="Q61" t="s">
        <v>27</v>
      </c>
      <c r="R61" t="s">
        <v>65</v>
      </c>
      <c r="S61" s="27">
        <v>1860</v>
      </c>
      <c r="T61" s="28">
        <f t="shared" si="2"/>
        <v>3658</v>
      </c>
      <c r="V61" t="str">
        <f t="shared" si="3"/>
        <v>OK</v>
      </c>
    </row>
    <row r="62" spans="1:22">
      <c r="A62" s="6">
        <v>44497</v>
      </c>
      <c r="B62" t="s">
        <v>22</v>
      </c>
      <c r="C62" t="s">
        <v>23</v>
      </c>
      <c r="D62" t="s">
        <v>24</v>
      </c>
      <c r="E62" t="s">
        <v>22</v>
      </c>
      <c r="F62" t="s">
        <v>25</v>
      </c>
      <c r="G62" t="s">
        <v>25</v>
      </c>
      <c r="H62" s="25">
        <v>0.50902777777777775</v>
      </c>
      <c r="I62" s="25">
        <v>0.51250000000000007</v>
      </c>
      <c r="J62" s="25">
        <v>0.57916666666666672</v>
      </c>
      <c r="K62" s="25">
        <v>0.58263888888888882</v>
      </c>
      <c r="L62" s="1">
        <f t="shared" si="0"/>
        <v>7.3611111111111072E-2</v>
      </c>
      <c r="M62" s="1">
        <f t="shared" si="1"/>
        <v>6.6666666666666652E-2</v>
      </c>
      <c r="N62" s="26">
        <v>3</v>
      </c>
      <c r="O62" t="s">
        <v>26</v>
      </c>
      <c r="Q62" t="s">
        <v>27</v>
      </c>
      <c r="R62" t="s">
        <v>66</v>
      </c>
      <c r="S62" s="27">
        <v>1860</v>
      </c>
      <c r="T62" s="28">
        <f t="shared" si="2"/>
        <v>3286</v>
      </c>
      <c r="V62" t="str">
        <f t="shared" si="3"/>
        <v>OK</v>
      </c>
    </row>
    <row r="63" spans="1:22">
      <c r="A63" s="6">
        <v>44533</v>
      </c>
      <c r="B63" t="s">
        <v>22</v>
      </c>
      <c r="C63" t="s">
        <v>23</v>
      </c>
      <c r="D63" t="s">
        <v>24</v>
      </c>
      <c r="E63" t="s">
        <v>22</v>
      </c>
      <c r="F63" t="s">
        <v>25</v>
      </c>
      <c r="G63" t="s">
        <v>25</v>
      </c>
      <c r="H63" s="25">
        <v>0.59444444444444444</v>
      </c>
      <c r="I63" s="25">
        <v>0.59791666666666665</v>
      </c>
      <c r="J63" s="25">
        <v>0.63541666666666663</v>
      </c>
      <c r="K63" s="25">
        <v>0.63888888888888895</v>
      </c>
      <c r="L63" s="1">
        <f t="shared" si="0"/>
        <v>4.4444444444444509E-2</v>
      </c>
      <c r="M63" s="1">
        <f t="shared" si="1"/>
        <v>3.7499999999999978E-2</v>
      </c>
      <c r="N63" s="26">
        <v>2</v>
      </c>
      <c r="O63" t="s">
        <v>26</v>
      </c>
      <c r="Q63" t="s">
        <v>27</v>
      </c>
      <c r="S63" s="27">
        <v>1860</v>
      </c>
      <c r="T63" s="28">
        <f t="shared" si="2"/>
        <v>1984</v>
      </c>
      <c r="V63" t="str">
        <f t="shared" si="3"/>
        <v>OK</v>
      </c>
    </row>
    <row r="64" spans="1:22">
      <c r="A64" s="6">
        <v>44535</v>
      </c>
      <c r="B64" t="s">
        <v>22</v>
      </c>
      <c r="C64" t="s">
        <v>23</v>
      </c>
      <c r="D64" t="s">
        <v>24</v>
      </c>
      <c r="E64" t="s">
        <v>22</v>
      </c>
      <c r="F64" t="s">
        <v>25</v>
      </c>
      <c r="G64" t="s">
        <v>25</v>
      </c>
      <c r="H64" s="25">
        <v>0.5805555555555556</v>
      </c>
      <c r="I64" s="25">
        <v>0.58402777777777781</v>
      </c>
      <c r="J64" s="25">
        <v>0.59652777777777777</v>
      </c>
      <c r="K64" s="25">
        <v>0.6</v>
      </c>
      <c r="L64" s="1">
        <f t="shared" si="0"/>
        <v>1.9444444444444375E-2</v>
      </c>
      <c r="M64" s="1">
        <f t="shared" si="1"/>
        <v>1.2499999999999956E-2</v>
      </c>
      <c r="N64" s="26">
        <v>2</v>
      </c>
      <c r="O64" t="s">
        <v>26</v>
      </c>
      <c r="Q64" t="s">
        <v>27</v>
      </c>
      <c r="S64" s="27">
        <v>1860</v>
      </c>
      <c r="T64" s="28">
        <f t="shared" si="2"/>
        <v>868</v>
      </c>
      <c r="V64" t="str">
        <f t="shared" si="3"/>
        <v>OK</v>
      </c>
    </row>
    <row r="65" spans="1:22">
      <c r="A65" s="6">
        <v>44574</v>
      </c>
      <c r="B65" t="s">
        <v>22</v>
      </c>
      <c r="C65" t="s">
        <v>23</v>
      </c>
      <c r="D65" t="s">
        <v>24</v>
      </c>
      <c r="E65" t="s">
        <v>22</v>
      </c>
      <c r="F65" t="s">
        <v>25</v>
      </c>
      <c r="G65" t="s">
        <v>25</v>
      </c>
      <c r="H65" s="25">
        <v>0.45208333333333334</v>
      </c>
      <c r="I65" s="25">
        <v>0.45555555555555555</v>
      </c>
      <c r="J65" s="25">
        <v>0.49722222222222223</v>
      </c>
      <c r="K65" s="25">
        <v>0.50069444444444444</v>
      </c>
      <c r="L65" s="1">
        <f t="shared" si="0"/>
        <v>4.8611111111111105E-2</v>
      </c>
      <c r="M65" s="1">
        <f t="shared" si="1"/>
        <v>4.1666666666666685E-2</v>
      </c>
      <c r="N65" s="26">
        <v>2</v>
      </c>
      <c r="O65" t="s">
        <v>26</v>
      </c>
      <c r="Q65" t="s">
        <v>27</v>
      </c>
      <c r="R65" t="s">
        <v>67</v>
      </c>
      <c r="S65" s="27">
        <v>1860</v>
      </c>
      <c r="T65" s="28">
        <f t="shared" si="2"/>
        <v>2170</v>
      </c>
      <c r="V65" t="str">
        <f t="shared" si="3"/>
        <v>OK</v>
      </c>
    </row>
    <row r="66" spans="1:22">
      <c r="A66" s="6">
        <v>44583</v>
      </c>
      <c r="B66" t="s">
        <v>22</v>
      </c>
      <c r="C66" t="s">
        <v>23</v>
      </c>
      <c r="D66" t="s">
        <v>24</v>
      </c>
      <c r="E66" t="s">
        <v>22</v>
      </c>
      <c r="F66" t="s">
        <v>25</v>
      </c>
      <c r="G66" t="s">
        <v>25</v>
      </c>
      <c r="H66" s="25">
        <v>0.55625000000000002</v>
      </c>
      <c r="I66" s="25">
        <v>0.55972222222222223</v>
      </c>
      <c r="J66" s="25">
        <v>0.57222222222222219</v>
      </c>
      <c r="K66" s="25">
        <v>0.5756944444444444</v>
      </c>
      <c r="L66" s="1">
        <f t="shared" ref="L66:L129" si="4">IF($A66="","",IF(AND(ISNUMBER($H66),ISNUMBER($K66)),MOD($K66-$H66,1),""))</f>
        <v>1.9444444444444375E-2</v>
      </c>
      <c r="M66" s="1">
        <f t="shared" ref="M66:M129" si="5">IF($A66="","",IF(AND(ISNUMBER($I66),ISNUMBER($J66)),MOD($J66-$I66,1),""))</f>
        <v>1.2499999999999956E-2</v>
      </c>
      <c r="N66" s="26">
        <v>4</v>
      </c>
      <c r="O66" t="s">
        <v>26</v>
      </c>
      <c r="Q66" t="s">
        <v>27</v>
      </c>
      <c r="S66" s="27">
        <v>1860</v>
      </c>
      <c r="T66" s="28">
        <f t="shared" si="2"/>
        <v>868</v>
      </c>
      <c r="V66" t="str">
        <f t="shared" si="3"/>
        <v>OK</v>
      </c>
    </row>
    <row r="67" spans="1:22">
      <c r="A67" s="6">
        <v>44619</v>
      </c>
      <c r="B67" t="s">
        <v>48</v>
      </c>
      <c r="C67" t="s">
        <v>49</v>
      </c>
      <c r="D67" t="s">
        <v>50</v>
      </c>
      <c r="E67" t="s">
        <v>51</v>
      </c>
      <c r="F67" t="s">
        <v>25</v>
      </c>
      <c r="G67" t="s">
        <v>68</v>
      </c>
      <c r="H67" s="25">
        <v>0.44513888888888886</v>
      </c>
      <c r="I67" s="25">
        <v>0.45069444444444445</v>
      </c>
      <c r="J67" s="25">
        <v>0.4826388888888889</v>
      </c>
      <c r="K67" s="25">
        <v>0.4826388888888889</v>
      </c>
      <c r="L67" s="1">
        <f t="shared" si="4"/>
        <v>3.7500000000000033E-2</v>
      </c>
      <c r="M67" s="1">
        <f t="shared" si="5"/>
        <v>3.1944444444444442E-2</v>
      </c>
      <c r="N67" s="26">
        <v>2</v>
      </c>
      <c r="O67" t="s">
        <v>26</v>
      </c>
      <c r="P67" t="s">
        <v>52</v>
      </c>
      <c r="Q67" t="s">
        <v>32</v>
      </c>
      <c r="R67">
        <v>17</v>
      </c>
      <c r="S67" s="27">
        <v>3060</v>
      </c>
      <c r="T67" s="28">
        <f t="shared" ref="T67:T132" si="6">IF($A67="","",IF(OR($S67="", $S67&lt;=0, $L67=""),"",ROUND($L67*24*$S67,2)))</f>
        <v>2754</v>
      </c>
      <c r="V67" t="str">
        <f t="shared" ref="V67:V132" si="7">IF($A67="","",IF(OR(YEAR($A67)&lt;2020,YEAR($A67)&gt;2030),"Podezřelé datum",IF(OR($F67="",$G67=""),"Chybí letiště",IF(OR($H67="",$I67="",$J67="",$K67=""),"Chybí čas",IF(OR($H67&gt;$I67,$I67&gt;$J67,$J67&gt;$K67),"Časy mimo pořadí",IF($M67&gt;$L67,"Air &gt; Block",IF(OR($S67="", $S67&lt;=0),"Chybí sazba","OK")))))))</f>
        <v>OK</v>
      </c>
    </row>
    <row r="68" spans="1:22">
      <c r="A68" s="6">
        <v>44619</v>
      </c>
      <c r="B68" t="s">
        <v>48</v>
      </c>
      <c r="C68" t="s">
        <v>49</v>
      </c>
      <c r="D68" t="s">
        <v>50</v>
      </c>
      <c r="E68" t="s">
        <v>51</v>
      </c>
      <c r="F68" t="s">
        <v>68</v>
      </c>
      <c r="G68" t="s">
        <v>25</v>
      </c>
      <c r="H68" s="25">
        <v>0.4826388888888889</v>
      </c>
      <c r="I68" s="25">
        <v>0.4826388888888889</v>
      </c>
      <c r="J68" s="25">
        <v>0.58194444444444449</v>
      </c>
      <c r="K68" s="25">
        <v>0.5854166666666667</v>
      </c>
      <c r="L68" s="1">
        <f t="shared" si="4"/>
        <v>0.1027777777777778</v>
      </c>
      <c r="M68" s="1">
        <f t="shared" si="5"/>
        <v>9.9305555555555591E-2</v>
      </c>
      <c r="N68" s="26">
        <v>4</v>
      </c>
      <c r="O68" t="s">
        <v>26</v>
      </c>
      <c r="P68" t="s">
        <v>52</v>
      </c>
      <c r="Q68" t="s">
        <v>32</v>
      </c>
      <c r="R68" t="s">
        <v>69</v>
      </c>
      <c r="S68" s="27">
        <v>3060</v>
      </c>
      <c r="T68" s="28">
        <f t="shared" si="6"/>
        <v>7548</v>
      </c>
      <c r="V68" t="str">
        <f t="shared" si="7"/>
        <v>OK</v>
      </c>
    </row>
    <row r="69" spans="1:22">
      <c r="A69" s="6">
        <v>44623</v>
      </c>
      <c r="B69" t="s">
        <v>22</v>
      </c>
      <c r="C69" t="s">
        <v>23</v>
      </c>
      <c r="D69" t="s">
        <v>24</v>
      </c>
      <c r="E69" t="s">
        <v>22</v>
      </c>
      <c r="F69" t="s">
        <v>25</v>
      </c>
      <c r="G69" t="s">
        <v>25</v>
      </c>
      <c r="H69" s="25">
        <v>0.41250000000000003</v>
      </c>
      <c r="I69" s="25">
        <v>0.41597222222222219</v>
      </c>
      <c r="J69" s="25">
        <v>0.57013888888888886</v>
      </c>
      <c r="K69" s="25">
        <v>0.57361111111111118</v>
      </c>
      <c r="L69" s="1">
        <f t="shared" si="4"/>
        <v>0.16111111111111115</v>
      </c>
      <c r="M69" s="1">
        <f t="shared" si="5"/>
        <v>0.15416666666666667</v>
      </c>
      <c r="N69" s="26">
        <v>4</v>
      </c>
      <c r="O69" t="s">
        <v>26</v>
      </c>
      <c r="Q69" t="s">
        <v>27</v>
      </c>
      <c r="S69" s="27">
        <v>1860</v>
      </c>
      <c r="T69" s="28">
        <f t="shared" si="6"/>
        <v>7192</v>
      </c>
      <c r="V69" t="str">
        <f t="shared" si="7"/>
        <v>OK</v>
      </c>
    </row>
    <row r="70" spans="1:22">
      <c r="A70" s="6">
        <v>44680</v>
      </c>
      <c r="B70" t="s">
        <v>22</v>
      </c>
      <c r="C70" t="s">
        <v>70</v>
      </c>
      <c r="D70" t="s">
        <v>24</v>
      </c>
      <c r="E70" t="s">
        <v>22</v>
      </c>
      <c r="F70" t="s">
        <v>25</v>
      </c>
      <c r="G70" t="s">
        <v>25</v>
      </c>
      <c r="H70" s="25">
        <v>0.49652777777777773</v>
      </c>
      <c r="I70" s="25">
        <v>0.5</v>
      </c>
      <c r="J70" s="25">
        <v>0.76250000000000007</v>
      </c>
      <c r="K70" s="25">
        <v>0.76597222222222217</v>
      </c>
      <c r="L70" s="1">
        <f t="shared" si="4"/>
        <v>0.26944444444444443</v>
      </c>
      <c r="M70" s="1">
        <f t="shared" si="5"/>
        <v>0.26250000000000007</v>
      </c>
      <c r="N70" s="26">
        <v>3</v>
      </c>
      <c r="O70" t="s">
        <v>26</v>
      </c>
      <c r="Q70" t="s">
        <v>27</v>
      </c>
      <c r="R70" t="s">
        <v>71</v>
      </c>
      <c r="S70" s="27">
        <v>2250</v>
      </c>
      <c r="T70" s="28">
        <f t="shared" si="6"/>
        <v>14550</v>
      </c>
      <c r="V70" t="str">
        <f t="shared" si="7"/>
        <v>OK</v>
      </c>
    </row>
    <row r="71" spans="1:22">
      <c r="A71" s="6">
        <v>44690</v>
      </c>
      <c r="B71" t="s">
        <v>22</v>
      </c>
      <c r="C71" t="s">
        <v>70</v>
      </c>
      <c r="D71" t="s">
        <v>24</v>
      </c>
      <c r="E71" t="s">
        <v>22</v>
      </c>
      <c r="F71" t="s">
        <v>25</v>
      </c>
      <c r="G71" t="s">
        <v>25</v>
      </c>
      <c r="H71" s="25">
        <v>0.52222222222222225</v>
      </c>
      <c r="I71" s="25">
        <v>0.52569444444444446</v>
      </c>
      <c r="J71" s="25">
        <v>0.55486111111111114</v>
      </c>
      <c r="K71" s="25">
        <v>0.55833333333333335</v>
      </c>
      <c r="L71" s="1">
        <f t="shared" si="4"/>
        <v>3.6111111111111094E-2</v>
      </c>
      <c r="M71" s="1">
        <f t="shared" si="5"/>
        <v>2.9166666666666674E-2</v>
      </c>
      <c r="N71" s="26">
        <v>3</v>
      </c>
      <c r="O71" t="s">
        <v>26</v>
      </c>
      <c r="Q71" t="s">
        <v>27</v>
      </c>
      <c r="S71" s="27">
        <v>2250</v>
      </c>
      <c r="T71" s="28">
        <f t="shared" si="6"/>
        <v>1950</v>
      </c>
      <c r="V71" t="str">
        <f t="shared" si="7"/>
        <v>OK</v>
      </c>
    </row>
    <row r="72" spans="1:22">
      <c r="A72" s="6">
        <v>44694</v>
      </c>
      <c r="B72" t="s">
        <v>22</v>
      </c>
      <c r="C72" t="s">
        <v>70</v>
      </c>
      <c r="D72" t="s">
        <v>24</v>
      </c>
      <c r="E72" t="s">
        <v>22</v>
      </c>
      <c r="F72" t="s">
        <v>25</v>
      </c>
      <c r="G72" t="s">
        <v>25</v>
      </c>
      <c r="H72" s="25">
        <v>0.54305555555555551</v>
      </c>
      <c r="I72" s="25">
        <v>0.54652777777777783</v>
      </c>
      <c r="J72" s="25">
        <v>0.59236111111111112</v>
      </c>
      <c r="K72" s="25">
        <v>0.59583333333333333</v>
      </c>
      <c r="L72" s="1">
        <f t="shared" si="4"/>
        <v>5.2777777777777812E-2</v>
      </c>
      <c r="M72" s="1">
        <f t="shared" si="5"/>
        <v>4.5833333333333282E-2</v>
      </c>
      <c r="N72" s="26">
        <v>2</v>
      </c>
      <c r="O72" t="s">
        <v>26</v>
      </c>
      <c r="Q72" t="s">
        <v>27</v>
      </c>
      <c r="S72" s="27">
        <v>2250</v>
      </c>
      <c r="T72" s="28">
        <f t="shared" si="6"/>
        <v>2850</v>
      </c>
      <c r="V72" t="str">
        <f t="shared" si="7"/>
        <v>OK</v>
      </c>
    </row>
    <row r="73" spans="1:22">
      <c r="A73" s="6">
        <v>44704</v>
      </c>
      <c r="B73" t="s">
        <v>22</v>
      </c>
      <c r="C73" t="s">
        <v>70</v>
      </c>
      <c r="D73" t="s">
        <v>24</v>
      </c>
      <c r="E73" t="s">
        <v>22</v>
      </c>
      <c r="F73" t="s">
        <v>25</v>
      </c>
      <c r="G73" t="s">
        <v>25</v>
      </c>
      <c r="H73" s="25">
        <v>0.61458333333333337</v>
      </c>
      <c r="I73" s="25">
        <v>0.61805555555555558</v>
      </c>
      <c r="J73" s="25">
        <v>0.7055555555555556</v>
      </c>
      <c r="K73" s="25">
        <v>0.7090277777777777</v>
      </c>
      <c r="L73" s="1">
        <f t="shared" si="4"/>
        <v>9.4444444444444331E-2</v>
      </c>
      <c r="M73" s="1">
        <f t="shared" si="5"/>
        <v>8.7500000000000022E-2</v>
      </c>
      <c r="N73" s="26">
        <v>3</v>
      </c>
      <c r="O73" t="s">
        <v>26</v>
      </c>
      <c r="Q73" t="s">
        <v>27</v>
      </c>
      <c r="R73" t="s">
        <v>72</v>
      </c>
      <c r="S73" s="27">
        <v>2250</v>
      </c>
      <c r="T73" s="28">
        <f t="shared" si="6"/>
        <v>5100</v>
      </c>
      <c r="V73" t="str">
        <f t="shared" si="7"/>
        <v>OK</v>
      </c>
    </row>
    <row r="74" spans="1:22">
      <c r="A74" s="6">
        <v>44725</v>
      </c>
      <c r="B74" t="s">
        <v>22</v>
      </c>
      <c r="C74" t="s">
        <v>70</v>
      </c>
      <c r="D74" t="s">
        <v>24</v>
      </c>
      <c r="E74" t="s">
        <v>22</v>
      </c>
      <c r="F74" t="s">
        <v>25</v>
      </c>
      <c r="G74" t="s">
        <v>25</v>
      </c>
      <c r="H74" s="25">
        <v>0.72222222222222221</v>
      </c>
      <c r="I74" s="25">
        <v>0.72569444444444453</v>
      </c>
      <c r="J74" s="25">
        <v>0.80069444444444438</v>
      </c>
      <c r="K74" s="25">
        <v>0.8041666666666667</v>
      </c>
      <c r="L74" s="1">
        <f t="shared" si="4"/>
        <v>8.1944444444444486E-2</v>
      </c>
      <c r="M74" s="1">
        <f t="shared" si="5"/>
        <v>7.4999999999999845E-2</v>
      </c>
      <c r="N74" s="26">
        <v>3</v>
      </c>
      <c r="O74" t="s">
        <v>26</v>
      </c>
      <c r="Q74" t="s">
        <v>27</v>
      </c>
      <c r="R74" t="s">
        <v>73</v>
      </c>
      <c r="S74" s="27">
        <v>2250</v>
      </c>
      <c r="T74" s="28">
        <f t="shared" si="6"/>
        <v>4425</v>
      </c>
      <c r="V74" t="str">
        <f t="shared" si="7"/>
        <v>OK</v>
      </c>
    </row>
    <row r="75" spans="1:22">
      <c r="A75" s="6">
        <v>44738</v>
      </c>
      <c r="B75" t="s">
        <v>22</v>
      </c>
      <c r="C75" t="s">
        <v>70</v>
      </c>
      <c r="D75" t="s">
        <v>24</v>
      </c>
      <c r="E75" t="s">
        <v>22</v>
      </c>
      <c r="F75" t="s">
        <v>25</v>
      </c>
      <c r="G75" t="s">
        <v>25</v>
      </c>
      <c r="H75" s="25">
        <v>0.68055555555555547</v>
      </c>
      <c r="I75" s="25">
        <v>0.68402777777777779</v>
      </c>
      <c r="J75" s="25">
        <v>0.7090277777777777</v>
      </c>
      <c r="K75" s="25">
        <v>0.71250000000000002</v>
      </c>
      <c r="L75" s="1">
        <f t="shared" si="4"/>
        <v>3.1944444444444553E-2</v>
      </c>
      <c r="M75" s="1">
        <f t="shared" si="5"/>
        <v>2.4999999999999911E-2</v>
      </c>
      <c r="N75" s="26">
        <v>2</v>
      </c>
      <c r="O75" t="s">
        <v>26</v>
      </c>
      <c r="Q75" t="s">
        <v>27</v>
      </c>
      <c r="S75" s="27">
        <v>2250</v>
      </c>
      <c r="T75" s="28">
        <f t="shared" si="6"/>
        <v>1725</v>
      </c>
      <c r="V75" t="str">
        <f t="shared" si="7"/>
        <v>OK</v>
      </c>
    </row>
    <row r="76" spans="1:22">
      <c r="A76" s="6">
        <v>44742</v>
      </c>
      <c r="B76" t="s">
        <v>22</v>
      </c>
      <c r="C76" t="s">
        <v>70</v>
      </c>
      <c r="D76" t="s">
        <v>24</v>
      </c>
      <c r="E76" t="s">
        <v>22</v>
      </c>
      <c r="F76" t="s">
        <v>25</v>
      </c>
      <c r="G76" t="s">
        <v>25</v>
      </c>
      <c r="H76" s="25">
        <v>0.47361111111111115</v>
      </c>
      <c r="I76" s="25">
        <v>0.4770833333333333</v>
      </c>
      <c r="J76" s="25">
        <v>0.61458333333333337</v>
      </c>
      <c r="K76" s="25">
        <v>0.61805555555555558</v>
      </c>
      <c r="L76" s="1">
        <f t="shared" si="4"/>
        <v>0.14444444444444443</v>
      </c>
      <c r="M76" s="1">
        <f t="shared" si="5"/>
        <v>0.13750000000000007</v>
      </c>
      <c r="N76" s="26">
        <v>7</v>
      </c>
      <c r="O76" t="s">
        <v>26</v>
      </c>
      <c r="Q76" t="s">
        <v>27</v>
      </c>
      <c r="S76" s="27">
        <v>2250</v>
      </c>
      <c r="T76" s="28">
        <f t="shared" si="6"/>
        <v>7800</v>
      </c>
      <c r="V76" t="str">
        <f t="shared" si="7"/>
        <v>OK</v>
      </c>
    </row>
    <row r="77" spans="1:22">
      <c r="A77" s="6">
        <v>44744</v>
      </c>
      <c r="B77" t="s">
        <v>22</v>
      </c>
      <c r="C77" t="s">
        <v>70</v>
      </c>
      <c r="D77" t="s">
        <v>24</v>
      </c>
      <c r="E77" t="s">
        <v>22</v>
      </c>
      <c r="F77" t="s">
        <v>25</v>
      </c>
      <c r="G77" t="s">
        <v>25</v>
      </c>
      <c r="H77" s="25">
        <v>0.75694444444444453</v>
      </c>
      <c r="I77" s="25">
        <v>0.76041666666666663</v>
      </c>
      <c r="J77" s="25">
        <v>0.79375000000000007</v>
      </c>
      <c r="K77" s="25">
        <v>0.79722222222222217</v>
      </c>
      <c r="L77" s="1">
        <f t="shared" si="4"/>
        <v>4.0277777777777635E-2</v>
      </c>
      <c r="M77" s="1">
        <f t="shared" si="5"/>
        <v>3.3333333333333437E-2</v>
      </c>
      <c r="N77" s="26">
        <v>5</v>
      </c>
      <c r="O77" t="s">
        <v>26</v>
      </c>
      <c r="Q77" t="s">
        <v>27</v>
      </c>
      <c r="S77" s="27">
        <v>2250</v>
      </c>
      <c r="T77" s="28">
        <f t="shared" si="6"/>
        <v>2175</v>
      </c>
      <c r="V77" t="str">
        <f t="shared" si="7"/>
        <v>OK</v>
      </c>
    </row>
    <row r="78" spans="1:22">
      <c r="A78" s="6">
        <v>44753</v>
      </c>
      <c r="B78" t="s">
        <v>22</v>
      </c>
      <c r="C78" t="s">
        <v>70</v>
      </c>
      <c r="D78" t="s">
        <v>24</v>
      </c>
      <c r="E78" t="s">
        <v>22</v>
      </c>
      <c r="F78" t="s">
        <v>25</v>
      </c>
      <c r="G78" t="s">
        <v>25</v>
      </c>
      <c r="H78" s="25">
        <v>0.54583333333333328</v>
      </c>
      <c r="I78" s="25">
        <v>0.5493055555555556</v>
      </c>
      <c r="J78" s="25">
        <v>0.59097222222222223</v>
      </c>
      <c r="K78" s="25">
        <v>0.59444444444444444</v>
      </c>
      <c r="L78" s="1">
        <f t="shared" si="4"/>
        <v>4.861111111111116E-2</v>
      </c>
      <c r="M78" s="1">
        <f t="shared" si="5"/>
        <v>4.166666666666663E-2</v>
      </c>
      <c r="N78" s="26">
        <v>2</v>
      </c>
      <c r="O78" t="s">
        <v>26</v>
      </c>
      <c r="Q78" t="s">
        <v>27</v>
      </c>
      <c r="S78" s="27">
        <v>2250</v>
      </c>
      <c r="T78" s="28">
        <f t="shared" si="6"/>
        <v>2625</v>
      </c>
      <c r="V78" t="str">
        <f t="shared" si="7"/>
        <v>OK</v>
      </c>
    </row>
    <row r="79" spans="1:22">
      <c r="A79" s="6">
        <v>44767</v>
      </c>
      <c r="B79" t="s">
        <v>22</v>
      </c>
      <c r="C79" t="s">
        <v>70</v>
      </c>
      <c r="D79" t="s">
        <v>24</v>
      </c>
      <c r="E79" t="s">
        <v>22</v>
      </c>
      <c r="F79" t="s">
        <v>25</v>
      </c>
      <c r="G79" t="s">
        <v>25</v>
      </c>
      <c r="H79" s="25">
        <v>0.73749999999999993</v>
      </c>
      <c r="I79" s="25">
        <v>0.74097222222222225</v>
      </c>
      <c r="J79" s="25">
        <v>0.77430555555555547</v>
      </c>
      <c r="K79" s="25">
        <v>0.77777777777777779</v>
      </c>
      <c r="L79" s="1">
        <f t="shared" si="4"/>
        <v>4.0277777777777857E-2</v>
      </c>
      <c r="M79" s="1">
        <f t="shared" si="5"/>
        <v>3.3333333333333215E-2</v>
      </c>
      <c r="N79" s="26">
        <v>2</v>
      </c>
      <c r="O79" t="s">
        <v>26</v>
      </c>
      <c r="Q79" t="s">
        <v>27</v>
      </c>
      <c r="S79" s="27">
        <v>2250</v>
      </c>
      <c r="T79" s="28">
        <f t="shared" si="6"/>
        <v>2175</v>
      </c>
      <c r="V79" t="str">
        <f t="shared" si="7"/>
        <v>OK</v>
      </c>
    </row>
    <row r="80" spans="1:22">
      <c r="A80" s="6">
        <v>44787</v>
      </c>
      <c r="B80" t="s">
        <v>22</v>
      </c>
      <c r="C80" t="s">
        <v>70</v>
      </c>
      <c r="D80" t="s">
        <v>24</v>
      </c>
      <c r="E80" t="s">
        <v>22</v>
      </c>
      <c r="F80" t="s">
        <v>25</v>
      </c>
      <c r="G80" t="s">
        <v>25</v>
      </c>
      <c r="H80" s="25">
        <v>0.30208333333333337</v>
      </c>
      <c r="I80" s="25">
        <v>0.30555555555555552</v>
      </c>
      <c r="J80" s="25">
        <v>0.38055555555555554</v>
      </c>
      <c r="K80" s="25">
        <v>0.3840277777777778</v>
      </c>
      <c r="L80" s="1">
        <f t="shared" si="4"/>
        <v>8.1944444444444431E-2</v>
      </c>
      <c r="M80" s="1">
        <f t="shared" si="5"/>
        <v>7.5000000000000011E-2</v>
      </c>
      <c r="N80" s="26">
        <v>3</v>
      </c>
      <c r="O80" t="s">
        <v>26</v>
      </c>
      <c r="Q80" t="s">
        <v>27</v>
      </c>
      <c r="S80" s="27">
        <v>2250</v>
      </c>
      <c r="T80" s="28">
        <f t="shared" si="6"/>
        <v>4425</v>
      </c>
      <c r="V80" t="str">
        <f t="shared" si="7"/>
        <v>OK</v>
      </c>
    </row>
    <row r="81" spans="1:22">
      <c r="A81" s="6">
        <v>44803</v>
      </c>
      <c r="B81" t="s">
        <v>22</v>
      </c>
      <c r="C81" t="s">
        <v>70</v>
      </c>
      <c r="D81" t="s">
        <v>24</v>
      </c>
      <c r="E81" t="s">
        <v>22</v>
      </c>
      <c r="F81" t="s">
        <v>25</v>
      </c>
      <c r="G81" t="s">
        <v>25</v>
      </c>
      <c r="H81" s="25">
        <v>0.3354166666666667</v>
      </c>
      <c r="I81" s="25">
        <v>0.33888888888888885</v>
      </c>
      <c r="J81" s="25">
        <v>0.41805555555555557</v>
      </c>
      <c r="K81" s="25">
        <v>0.42152777777777778</v>
      </c>
      <c r="L81" s="1">
        <f t="shared" si="4"/>
        <v>8.6111111111111083E-2</v>
      </c>
      <c r="M81" s="1">
        <f t="shared" si="5"/>
        <v>7.9166666666666718E-2</v>
      </c>
      <c r="N81" s="26">
        <v>3</v>
      </c>
      <c r="O81" t="s">
        <v>26</v>
      </c>
      <c r="Q81" t="s">
        <v>27</v>
      </c>
      <c r="S81" s="27">
        <v>2250</v>
      </c>
      <c r="T81" s="28">
        <f t="shared" si="6"/>
        <v>4650</v>
      </c>
      <c r="V81" t="str">
        <f t="shared" si="7"/>
        <v>OK</v>
      </c>
    </row>
    <row r="82" spans="1:22">
      <c r="A82" s="6">
        <v>44816</v>
      </c>
      <c r="B82" t="s">
        <v>22</v>
      </c>
      <c r="C82" t="s">
        <v>70</v>
      </c>
      <c r="D82" t="s">
        <v>24</v>
      </c>
      <c r="E82" t="s">
        <v>22</v>
      </c>
      <c r="F82" t="s">
        <v>25</v>
      </c>
      <c r="G82" t="s">
        <v>74</v>
      </c>
      <c r="H82" s="25">
        <v>0.32847222222222222</v>
      </c>
      <c r="I82" s="25">
        <v>0.33194444444444443</v>
      </c>
      <c r="J82" s="25">
        <v>0.44027777777777777</v>
      </c>
      <c r="K82" s="25">
        <v>0.44375000000000003</v>
      </c>
      <c r="L82" s="1">
        <f t="shared" si="4"/>
        <v>0.11527777777777781</v>
      </c>
      <c r="M82" s="1">
        <f t="shared" si="5"/>
        <v>0.10833333333333334</v>
      </c>
      <c r="N82" s="26">
        <v>1</v>
      </c>
      <c r="O82" t="s">
        <v>26</v>
      </c>
      <c r="Q82" t="s">
        <v>27</v>
      </c>
      <c r="R82" t="s">
        <v>75</v>
      </c>
      <c r="S82" s="27">
        <v>2250</v>
      </c>
      <c r="T82" s="28">
        <f t="shared" si="6"/>
        <v>6225</v>
      </c>
      <c r="V82" t="str">
        <f t="shared" si="7"/>
        <v>OK</v>
      </c>
    </row>
    <row r="83" spans="1:22">
      <c r="A83" s="6">
        <v>44817</v>
      </c>
      <c r="B83" t="s">
        <v>22</v>
      </c>
      <c r="C83" t="s">
        <v>70</v>
      </c>
      <c r="D83" t="s">
        <v>24</v>
      </c>
      <c r="E83" t="s">
        <v>22</v>
      </c>
      <c r="F83" t="s">
        <v>74</v>
      </c>
      <c r="G83" t="s">
        <v>25</v>
      </c>
      <c r="H83" s="25">
        <v>0.44305555555555554</v>
      </c>
      <c r="I83" s="25">
        <v>0.4465277777777778</v>
      </c>
      <c r="J83" s="25">
        <v>0.56319444444444444</v>
      </c>
      <c r="K83" s="25">
        <v>0.56666666666666665</v>
      </c>
      <c r="L83" s="1">
        <f t="shared" si="4"/>
        <v>0.12361111111111112</v>
      </c>
      <c r="M83" s="1">
        <f t="shared" si="5"/>
        <v>0.11666666666666664</v>
      </c>
      <c r="N83" s="26">
        <v>1</v>
      </c>
      <c r="O83" t="s">
        <v>26</v>
      </c>
      <c r="Q83" t="s">
        <v>27</v>
      </c>
      <c r="R83" t="s">
        <v>76</v>
      </c>
      <c r="S83" s="27">
        <v>2250</v>
      </c>
      <c r="T83" s="28">
        <f t="shared" si="6"/>
        <v>6675</v>
      </c>
      <c r="V83" t="str">
        <f t="shared" si="7"/>
        <v>OK</v>
      </c>
    </row>
    <row r="84" spans="1:22">
      <c r="A84" s="6">
        <v>44828</v>
      </c>
      <c r="B84" t="s">
        <v>22</v>
      </c>
      <c r="C84" t="s">
        <v>70</v>
      </c>
      <c r="D84" t="s">
        <v>24</v>
      </c>
      <c r="E84" t="s">
        <v>22</v>
      </c>
      <c r="F84" t="s">
        <v>25</v>
      </c>
      <c r="G84" t="s">
        <v>25</v>
      </c>
      <c r="H84" s="25">
        <v>0.45902777777777781</v>
      </c>
      <c r="I84" s="25">
        <v>0.46249999999999997</v>
      </c>
      <c r="J84" s="25">
        <v>0.48333333333333334</v>
      </c>
      <c r="K84" s="25">
        <v>0.48680555555555555</v>
      </c>
      <c r="L84" s="1">
        <f t="shared" si="4"/>
        <v>2.7777777777777735E-2</v>
      </c>
      <c r="M84" s="1">
        <f t="shared" si="5"/>
        <v>2.083333333333337E-2</v>
      </c>
      <c r="N84" s="26">
        <v>1</v>
      </c>
      <c r="O84" t="s">
        <v>26</v>
      </c>
      <c r="Q84" t="s">
        <v>27</v>
      </c>
      <c r="S84" s="27">
        <v>2250</v>
      </c>
      <c r="T84" s="28">
        <f t="shared" si="6"/>
        <v>1500</v>
      </c>
      <c r="V84" t="str">
        <f t="shared" si="7"/>
        <v>OK</v>
      </c>
    </row>
    <row r="85" spans="1:22">
      <c r="A85" s="6">
        <v>44843</v>
      </c>
      <c r="B85" t="s">
        <v>48</v>
      </c>
      <c r="C85" t="s">
        <v>49</v>
      </c>
      <c r="D85" t="s">
        <v>50</v>
      </c>
      <c r="E85" t="s">
        <v>51</v>
      </c>
      <c r="F85" t="s">
        <v>25</v>
      </c>
      <c r="G85" t="s">
        <v>25</v>
      </c>
      <c r="H85" s="25">
        <v>0.38541666666666669</v>
      </c>
      <c r="I85" s="25">
        <v>0.3888888888888889</v>
      </c>
      <c r="J85" s="25">
        <v>0.40972222222222221</v>
      </c>
      <c r="K85" s="25">
        <v>0.41319444444444442</v>
      </c>
      <c r="L85" s="1">
        <f t="shared" si="4"/>
        <v>2.7777777777777735E-2</v>
      </c>
      <c r="M85" s="1">
        <f t="shared" si="5"/>
        <v>2.0833333333333315E-2</v>
      </c>
      <c r="N85" s="26">
        <v>6</v>
      </c>
      <c r="O85" t="s">
        <v>26</v>
      </c>
      <c r="P85" t="s">
        <v>52</v>
      </c>
      <c r="Q85" t="s">
        <v>32</v>
      </c>
      <c r="R85" t="s">
        <v>59</v>
      </c>
      <c r="S85" s="27">
        <v>3060</v>
      </c>
      <c r="T85" s="28">
        <f t="shared" si="6"/>
        <v>2040</v>
      </c>
      <c r="V85" t="str">
        <f t="shared" si="7"/>
        <v>OK</v>
      </c>
    </row>
    <row r="86" spans="1:22">
      <c r="A86" s="6">
        <v>44843</v>
      </c>
      <c r="B86" t="s">
        <v>48</v>
      </c>
      <c r="C86" t="s">
        <v>49</v>
      </c>
      <c r="D86" t="s">
        <v>50</v>
      </c>
      <c r="E86" t="s">
        <v>51</v>
      </c>
      <c r="F86" t="s">
        <v>25</v>
      </c>
      <c r="G86" t="s">
        <v>25</v>
      </c>
      <c r="H86" s="25">
        <v>0.4236111111111111</v>
      </c>
      <c r="I86" s="25">
        <v>0.42708333333333331</v>
      </c>
      <c r="J86" s="25">
        <v>0.46180555555555558</v>
      </c>
      <c r="K86" s="25">
        <v>0.46527777777777779</v>
      </c>
      <c r="L86" s="1">
        <f t="shared" si="4"/>
        <v>4.1666666666666685E-2</v>
      </c>
      <c r="M86" s="1">
        <f t="shared" si="5"/>
        <v>3.4722222222222265E-2</v>
      </c>
      <c r="N86" s="26">
        <v>7</v>
      </c>
      <c r="O86" t="s">
        <v>26</v>
      </c>
      <c r="P86" t="s">
        <v>52</v>
      </c>
      <c r="Q86" t="s">
        <v>32</v>
      </c>
      <c r="R86" t="s">
        <v>59</v>
      </c>
      <c r="S86" s="27">
        <v>3060</v>
      </c>
      <c r="T86" s="28">
        <f t="shared" si="6"/>
        <v>3060</v>
      </c>
      <c r="V86" t="str">
        <f t="shared" si="7"/>
        <v>OK</v>
      </c>
    </row>
    <row r="87" spans="1:22">
      <c r="A87" s="6">
        <v>44843</v>
      </c>
      <c r="B87" t="s">
        <v>48</v>
      </c>
      <c r="C87" t="s">
        <v>49</v>
      </c>
      <c r="D87" t="s">
        <v>50</v>
      </c>
      <c r="E87" t="s">
        <v>51</v>
      </c>
      <c r="F87" t="s">
        <v>25</v>
      </c>
      <c r="G87" t="s">
        <v>25</v>
      </c>
      <c r="H87" s="25">
        <v>0.52777777777777779</v>
      </c>
      <c r="I87" s="25">
        <v>0.53125</v>
      </c>
      <c r="J87" s="25">
        <v>0.58333333333333337</v>
      </c>
      <c r="K87" s="25">
        <v>0.58680555555555558</v>
      </c>
      <c r="L87" s="1">
        <f t="shared" si="4"/>
        <v>5.902777777777779E-2</v>
      </c>
      <c r="M87" s="1">
        <f t="shared" si="5"/>
        <v>5.208333333333337E-2</v>
      </c>
      <c r="N87" s="26">
        <v>2</v>
      </c>
      <c r="O87" t="s">
        <v>26</v>
      </c>
      <c r="P87" t="s">
        <v>52</v>
      </c>
      <c r="Q87" t="s">
        <v>32</v>
      </c>
      <c r="R87" t="s">
        <v>59</v>
      </c>
      <c r="S87" s="27">
        <v>3060</v>
      </c>
      <c r="T87" s="28">
        <f t="shared" si="6"/>
        <v>4335</v>
      </c>
      <c r="V87" t="str">
        <f t="shared" si="7"/>
        <v>OK</v>
      </c>
    </row>
    <row r="88" spans="1:22">
      <c r="A88" s="6">
        <v>44843</v>
      </c>
      <c r="B88" t="s">
        <v>48</v>
      </c>
      <c r="C88" t="s">
        <v>49</v>
      </c>
      <c r="D88" t="s">
        <v>50</v>
      </c>
      <c r="E88" t="s">
        <v>51</v>
      </c>
      <c r="F88" t="s">
        <v>25</v>
      </c>
      <c r="G88" t="s">
        <v>25</v>
      </c>
      <c r="H88" s="25">
        <v>0.59375</v>
      </c>
      <c r="I88" s="25">
        <v>0.59722222222222221</v>
      </c>
      <c r="J88" s="25">
        <v>0.67708333333333337</v>
      </c>
      <c r="K88" s="25">
        <v>0.68055555555555558</v>
      </c>
      <c r="L88" s="1">
        <f t="shared" si="4"/>
        <v>8.680555555555558E-2</v>
      </c>
      <c r="M88" s="1">
        <f t="shared" si="5"/>
        <v>7.986111111111116E-2</v>
      </c>
      <c r="N88" s="26">
        <v>2</v>
      </c>
      <c r="O88" t="s">
        <v>26</v>
      </c>
      <c r="Q88" t="s">
        <v>27</v>
      </c>
      <c r="R88" t="s">
        <v>59</v>
      </c>
      <c r="S88" s="27">
        <v>3060</v>
      </c>
      <c r="T88" s="28">
        <f t="shared" si="6"/>
        <v>6375</v>
      </c>
      <c r="V88" t="str">
        <f t="shared" si="7"/>
        <v>OK</v>
      </c>
    </row>
    <row r="89" spans="1:22">
      <c r="A89" s="6">
        <v>44874</v>
      </c>
      <c r="B89" t="s">
        <v>22</v>
      </c>
      <c r="C89" t="s">
        <v>70</v>
      </c>
      <c r="D89" t="s">
        <v>24</v>
      </c>
      <c r="E89" t="s">
        <v>22</v>
      </c>
      <c r="F89" t="s">
        <v>25</v>
      </c>
      <c r="G89" t="s">
        <v>25</v>
      </c>
      <c r="H89" s="25">
        <v>0.61527777777777781</v>
      </c>
      <c r="I89" s="25">
        <v>0.62569444444444444</v>
      </c>
      <c r="J89" s="25">
        <v>0.65902777777777777</v>
      </c>
      <c r="K89" s="25">
        <v>0.66249999999999998</v>
      </c>
      <c r="L89" s="1">
        <f t="shared" si="4"/>
        <v>4.7222222222222165E-2</v>
      </c>
      <c r="M89" s="1">
        <f t="shared" si="5"/>
        <v>3.3333333333333326E-2</v>
      </c>
      <c r="N89" s="26">
        <v>10</v>
      </c>
      <c r="O89" t="s">
        <v>26</v>
      </c>
      <c r="Q89" t="s">
        <v>27</v>
      </c>
      <c r="S89" s="27">
        <v>2250</v>
      </c>
      <c r="T89" s="28">
        <f t="shared" si="6"/>
        <v>2550</v>
      </c>
      <c r="V89" t="str">
        <f t="shared" si="7"/>
        <v>OK</v>
      </c>
    </row>
    <row r="90" spans="1:22">
      <c r="A90" s="6">
        <v>44908</v>
      </c>
      <c r="B90" t="s">
        <v>22</v>
      </c>
      <c r="C90" t="s">
        <v>70</v>
      </c>
      <c r="D90" t="s">
        <v>24</v>
      </c>
      <c r="E90" t="s">
        <v>22</v>
      </c>
      <c r="F90" t="s">
        <v>25</v>
      </c>
      <c r="G90" t="s">
        <v>25</v>
      </c>
      <c r="H90" s="25">
        <v>0.52430555555555558</v>
      </c>
      <c r="I90" s="25">
        <v>0.52777777777777779</v>
      </c>
      <c r="J90" s="25">
        <v>0.59861111111111109</v>
      </c>
      <c r="K90" s="25">
        <v>0.6020833333333333</v>
      </c>
      <c r="L90" s="1">
        <f t="shared" si="4"/>
        <v>7.7777777777777724E-2</v>
      </c>
      <c r="M90" s="1">
        <f t="shared" si="5"/>
        <v>7.0833333333333304E-2</v>
      </c>
      <c r="N90" s="26">
        <v>5</v>
      </c>
      <c r="O90" t="s">
        <v>26</v>
      </c>
      <c r="Q90" t="s">
        <v>27</v>
      </c>
      <c r="S90" s="27">
        <v>2250</v>
      </c>
      <c r="T90" s="28">
        <f t="shared" si="6"/>
        <v>4200</v>
      </c>
      <c r="V90" t="str">
        <f t="shared" si="7"/>
        <v>OK</v>
      </c>
    </row>
    <row r="91" spans="1:22">
      <c r="A91" s="6">
        <v>45003</v>
      </c>
      <c r="B91" t="s">
        <v>22</v>
      </c>
      <c r="C91" t="s">
        <v>70</v>
      </c>
      <c r="D91" t="s">
        <v>24</v>
      </c>
      <c r="E91" t="s">
        <v>22</v>
      </c>
      <c r="F91" t="s">
        <v>25</v>
      </c>
      <c r="G91" t="s">
        <v>25</v>
      </c>
      <c r="H91" s="25">
        <v>0.40277777777777773</v>
      </c>
      <c r="I91" s="25">
        <v>0.40625</v>
      </c>
      <c r="J91" s="25">
        <v>0.44791666666666669</v>
      </c>
      <c r="K91" s="25">
        <v>0.4513888888888889</v>
      </c>
      <c r="L91" s="1">
        <f t="shared" si="4"/>
        <v>4.861111111111116E-2</v>
      </c>
      <c r="M91" s="1">
        <f t="shared" si="5"/>
        <v>4.1666666666666685E-2</v>
      </c>
      <c r="N91" s="26">
        <v>8</v>
      </c>
      <c r="O91" t="s">
        <v>26</v>
      </c>
      <c r="P91" t="s">
        <v>31</v>
      </c>
      <c r="Q91" t="s">
        <v>32</v>
      </c>
      <c r="S91" s="27">
        <v>2250</v>
      </c>
      <c r="T91" s="28">
        <f t="shared" si="6"/>
        <v>2625</v>
      </c>
      <c r="V91" t="str">
        <f t="shared" si="7"/>
        <v>OK</v>
      </c>
    </row>
    <row r="92" spans="1:22">
      <c r="A92" s="6">
        <v>45007</v>
      </c>
      <c r="B92" t="s">
        <v>22</v>
      </c>
      <c r="C92" t="s">
        <v>70</v>
      </c>
      <c r="D92" t="s">
        <v>24</v>
      </c>
      <c r="E92" t="s">
        <v>22</v>
      </c>
      <c r="F92" t="s">
        <v>25</v>
      </c>
      <c r="G92" t="s">
        <v>25</v>
      </c>
      <c r="H92" s="25">
        <v>0.35347222222222219</v>
      </c>
      <c r="I92" s="25">
        <v>0.35694444444444445</v>
      </c>
      <c r="J92" s="25">
        <v>0.41111111111111115</v>
      </c>
      <c r="K92" s="25">
        <v>0.41458333333333336</v>
      </c>
      <c r="L92" s="1">
        <f t="shared" si="4"/>
        <v>6.1111111111111172E-2</v>
      </c>
      <c r="M92" s="1">
        <f t="shared" si="5"/>
        <v>5.4166666666666696E-2</v>
      </c>
      <c r="N92" s="26">
        <v>5</v>
      </c>
      <c r="O92" t="s">
        <v>26</v>
      </c>
      <c r="Q92" t="s">
        <v>27</v>
      </c>
      <c r="S92" s="27">
        <v>2250</v>
      </c>
      <c r="T92" s="28">
        <f t="shared" si="6"/>
        <v>3300</v>
      </c>
      <c r="V92" t="str">
        <f t="shared" si="7"/>
        <v>OK</v>
      </c>
    </row>
    <row r="93" spans="1:22">
      <c r="A93" s="6">
        <v>45021</v>
      </c>
      <c r="B93" t="s">
        <v>48</v>
      </c>
      <c r="C93" t="s">
        <v>49</v>
      </c>
      <c r="D93" t="s">
        <v>50</v>
      </c>
      <c r="E93" t="s">
        <v>51</v>
      </c>
      <c r="F93" t="s">
        <v>25</v>
      </c>
      <c r="G93" t="s">
        <v>25</v>
      </c>
      <c r="H93" s="25">
        <v>0.69513888888888886</v>
      </c>
      <c r="I93" s="25">
        <v>0.69861111111111107</v>
      </c>
      <c r="J93" s="25">
        <v>0.70694444444444449</v>
      </c>
      <c r="K93" s="25">
        <v>0.7104166666666667</v>
      </c>
      <c r="L93" s="1">
        <f t="shared" si="4"/>
        <v>1.5277777777777835E-2</v>
      </c>
      <c r="M93" s="1">
        <f t="shared" si="5"/>
        <v>8.3333333333334147E-3</v>
      </c>
      <c r="N93" s="26">
        <v>3</v>
      </c>
      <c r="O93" t="s">
        <v>26</v>
      </c>
      <c r="P93" t="s">
        <v>52</v>
      </c>
      <c r="Q93" t="s">
        <v>32</v>
      </c>
      <c r="R93" t="s">
        <v>77</v>
      </c>
      <c r="S93" s="27">
        <v>3060</v>
      </c>
      <c r="T93" s="28">
        <f t="shared" si="6"/>
        <v>1122</v>
      </c>
      <c r="V93" t="str">
        <f t="shared" si="7"/>
        <v>OK</v>
      </c>
    </row>
    <row r="94" spans="1:22">
      <c r="A94" s="6">
        <v>45021</v>
      </c>
      <c r="B94" t="s">
        <v>48</v>
      </c>
      <c r="C94" t="s">
        <v>49</v>
      </c>
      <c r="D94" t="s">
        <v>50</v>
      </c>
      <c r="E94" t="s">
        <v>51</v>
      </c>
      <c r="F94" t="s">
        <v>25</v>
      </c>
      <c r="G94" t="s">
        <v>25</v>
      </c>
      <c r="H94" s="25">
        <v>0.7104166666666667</v>
      </c>
      <c r="I94" s="25">
        <v>0.7104166666666667</v>
      </c>
      <c r="J94" s="25">
        <v>0.74861111111111112</v>
      </c>
      <c r="K94" s="25">
        <v>0.75208333333333333</v>
      </c>
      <c r="L94" s="1">
        <f t="shared" si="4"/>
        <v>4.166666666666663E-2</v>
      </c>
      <c r="M94" s="1">
        <f t="shared" si="5"/>
        <v>3.819444444444442E-2</v>
      </c>
      <c r="N94" s="26">
        <v>1</v>
      </c>
      <c r="O94" t="s">
        <v>26</v>
      </c>
      <c r="Q94" t="s">
        <v>27</v>
      </c>
      <c r="R94" t="s">
        <v>78</v>
      </c>
      <c r="S94" s="27">
        <v>3060</v>
      </c>
      <c r="T94" s="28">
        <f t="shared" si="6"/>
        <v>3060</v>
      </c>
      <c r="V94" t="str">
        <f t="shared" si="7"/>
        <v>OK</v>
      </c>
    </row>
    <row r="95" spans="1:22">
      <c r="A95" s="6">
        <v>45022</v>
      </c>
      <c r="B95" t="s">
        <v>22</v>
      </c>
      <c r="C95" t="s">
        <v>70</v>
      </c>
      <c r="D95" t="s">
        <v>24</v>
      </c>
      <c r="E95" t="s">
        <v>22</v>
      </c>
      <c r="F95" t="s">
        <v>25</v>
      </c>
      <c r="G95" t="s">
        <v>25</v>
      </c>
      <c r="H95" s="25">
        <v>0.62777777777777777</v>
      </c>
      <c r="I95" s="25">
        <v>0.63124999999999998</v>
      </c>
      <c r="J95" s="25">
        <v>0.66041666666666665</v>
      </c>
      <c r="K95" s="25">
        <v>0.66388888888888886</v>
      </c>
      <c r="L95" s="1">
        <f t="shared" si="4"/>
        <v>3.6111111111111094E-2</v>
      </c>
      <c r="M95" s="1">
        <f t="shared" si="5"/>
        <v>2.9166666666666674E-2</v>
      </c>
      <c r="N95" s="26">
        <v>1</v>
      </c>
      <c r="O95" t="s">
        <v>26</v>
      </c>
      <c r="Q95" t="s">
        <v>27</v>
      </c>
      <c r="S95" s="27">
        <v>2250</v>
      </c>
      <c r="T95" s="28">
        <f t="shared" si="6"/>
        <v>1950</v>
      </c>
      <c r="V95" t="str">
        <f t="shared" si="7"/>
        <v>OK</v>
      </c>
    </row>
    <row r="96" spans="1:22">
      <c r="A96" s="6">
        <v>45029</v>
      </c>
      <c r="B96" t="s">
        <v>22</v>
      </c>
      <c r="C96" t="s">
        <v>79</v>
      </c>
      <c r="D96" t="s">
        <v>80</v>
      </c>
      <c r="E96" t="s">
        <v>22</v>
      </c>
      <c r="F96" t="s">
        <v>25</v>
      </c>
      <c r="G96" t="s">
        <v>25</v>
      </c>
      <c r="H96" s="25">
        <v>0.60625000000000007</v>
      </c>
      <c r="I96" s="25">
        <v>0.60972222222222217</v>
      </c>
      <c r="J96" s="25">
        <v>0.63472222222222219</v>
      </c>
      <c r="K96" s="25">
        <v>0.6381944444444444</v>
      </c>
      <c r="L96" s="1">
        <f t="shared" si="4"/>
        <v>3.1944444444444331E-2</v>
      </c>
      <c r="M96" s="1">
        <f t="shared" si="5"/>
        <v>2.5000000000000022E-2</v>
      </c>
      <c r="N96" s="26">
        <v>5</v>
      </c>
      <c r="O96" t="s">
        <v>26</v>
      </c>
      <c r="P96" t="s">
        <v>31</v>
      </c>
      <c r="Q96" t="s">
        <v>32</v>
      </c>
      <c r="S96" s="27">
        <v>2150</v>
      </c>
      <c r="T96" s="28">
        <f t="shared" si="6"/>
        <v>1648.33</v>
      </c>
      <c r="V96" t="str">
        <f t="shared" si="7"/>
        <v>OK</v>
      </c>
    </row>
    <row r="97" spans="1:22">
      <c r="A97" s="6">
        <v>45029</v>
      </c>
      <c r="B97" t="s">
        <v>22</v>
      </c>
      <c r="C97" t="s">
        <v>79</v>
      </c>
      <c r="D97" t="s">
        <v>80</v>
      </c>
      <c r="E97" t="s">
        <v>22</v>
      </c>
      <c r="F97" t="s">
        <v>25</v>
      </c>
      <c r="G97" t="s">
        <v>25</v>
      </c>
      <c r="H97" s="25">
        <v>0.6381944444444444</v>
      </c>
      <c r="I97" s="25">
        <v>0.64166666666666672</v>
      </c>
      <c r="J97" s="25">
        <v>0.66249999999999998</v>
      </c>
      <c r="K97" s="25">
        <v>0.66597222222222219</v>
      </c>
      <c r="L97" s="1">
        <f t="shared" si="4"/>
        <v>2.777777777777779E-2</v>
      </c>
      <c r="M97" s="1">
        <f t="shared" si="5"/>
        <v>2.0833333333333259E-2</v>
      </c>
      <c r="N97" s="26">
        <v>4</v>
      </c>
      <c r="O97" t="s">
        <v>26</v>
      </c>
      <c r="Q97" t="s">
        <v>27</v>
      </c>
      <c r="S97" s="27">
        <v>2150</v>
      </c>
      <c r="T97" s="28">
        <f t="shared" si="6"/>
        <v>1433.33</v>
      </c>
      <c r="V97" t="str">
        <f t="shared" si="7"/>
        <v>OK</v>
      </c>
    </row>
    <row r="98" spans="1:22">
      <c r="A98" s="6">
        <v>45037</v>
      </c>
      <c r="B98" t="s">
        <v>22</v>
      </c>
      <c r="C98" t="s">
        <v>79</v>
      </c>
      <c r="D98" t="s">
        <v>80</v>
      </c>
      <c r="E98" t="s">
        <v>22</v>
      </c>
      <c r="F98" t="s">
        <v>25</v>
      </c>
      <c r="G98" t="s">
        <v>81</v>
      </c>
      <c r="H98" s="25">
        <v>0.22638888888888889</v>
      </c>
      <c r="I98" s="25">
        <v>0.2298611111111111</v>
      </c>
      <c r="J98" s="25">
        <v>0.3756944444444445</v>
      </c>
      <c r="K98" s="25">
        <v>0.37916666666666665</v>
      </c>
      <c r="L98" s="1">
        <f t="shared" si="4"/>
        <v>0.15277777777777776</v>
      </c>
      <c r="M98" s="1">
        <f t="shared" si="5"/>
        <v>0.1458333333333334</v>
      </c>
      <c r="N98" s="26">
        <v>2</v>
      </c>
      <c r="O98" t="s">
        <v>26</v>
      </c>
      <c r="Q98" t="s">
        <v>27</v>
      </c>
      <c r="S98" s="27">
        <v>2150</v>
      </c>
      <c r="T98" s="28">
        <f t="shared" si="6"/>
        <v>7883.33</v>
      </c>
      <c r="V98" t="str">
        <f t="shared" si="7"/>
        <v>OK</v>
      </c>
    </row>
    <row r="99" spans="1:22">
      <c r="A99" s="6">
        <v>45038</v>
      </c>
      <c r="B99" t="s">
        <v>22</v>
      </c>
      <c r="C99" t="s">
        <v>79</v>
      </c>
      <c r="D99" t="s">
        <v>80</v>
      </c>
      <c r="E99" t="s">
        <v>22</v>
      </c>
      <c r="F99" t="s">
        <v>81</v>
      </c>
      <c r="G99" t="s">
        <v>25</v>
      </c>
      <c r="H99" s="25">
        <v>0.4152777777777778</v>
      </c>
      <c r="I99" s="25">
        <v>0.41875000000000001</v>
      </c>
      <c r="J99" s="25">
        <v>0.51458333333333328</v>
      </c>
      <c r="K99" s="25">
        <v>0.5180555555555556</v>
      </c>
      <c r="L99" s="1">
        <f t="shared" si="4"/>
        <v>0.1027777777777778</v>
      </c>
      <c r="M99" s="1">
        <f t="shared" si="5"/>
        <v>9.583333333333327E-2</v>
      </c>
      <c r="N99" s="26">
        <v>1</v>
      </c>
      <c r="O99" t="s">
        <v>26</v>
      </c>
      <c r="Q99" t="s">
        <v>27</v>
      </c>
      <c r="S99" s="27">
        <v>2150</v>
      </c>
      <c r="T99" s="28">
        <f t="shared" si="6"/>
        <v>5303.33</v>
      </c>
      <c r="V99" t="str">
        <f t="shared" si="7"/>
        <v>OK</v>
      </c>
    </row>
    <row r="100" spans="1:22">
      <c r="A100" s="6">
        <v>45045</v>
      </c>
      <c r="B100" t="s">
        <v>22</v>
      </c>
      <c r="C100" t="s">
        <v>82</v>
      </c>
      <c r="D100" t="s">
        <v>80</v>
      </c>
      <c r="E100" t="s">
        <v>22</v>
      </c>
      <c r="F100" t="s">
        <v>25</v>
      </c>
      <c r="G100" t="s">
        <v>25</v>
      </c>
      <c r="H100" s="25">
        <v>0.49652777777777773</v>
      </c>
      <c r="I100" s="25">
        <v>0.5</v>
      </c>
      <c r="J100" s="25">
        <v>0.59166666666666667</v>
      </c>
      <c r="K100" s="25">
        <v>0.59513888888888888</v>
      </c>
      <c r="L100" s="1">
        <f t="shared" si="4"/>
        <v>9.8611111111111149E-2</v>
      </c>
      <c r="M100" s="1">
        <f t="shared" si="5"/>
        <v>9.1666666666666674E-2</v>
      </c>
      <c r="N100" s="26">
        <v>11</v>
      </c>
      <c r="O100" t="s">
        <v>26</v>
      </c>
      <c r="Q100" t="s">
        <v>27</v>
      </c>
      <c r="S100" s="27">
        <v>2370</v>
      </c>
      <c r="T100" s="28">
        <f t="shared" si="6"/>
        <v>5609</v>
      </c>
      <c r="V100" t="str">
        <f t="shared" si="7"/>
        <v>OK</v>
      </c>
    </row>
    <row r="101" spans="1:22">
      <c r="A101" s="6">
        <v>45047</v>
      </c>
      <c r="B101" t="s">
        <v>22</v>
      </c>
      <c r="C101" t="s">
        <v>82</v>
      </c>
      <c r="D101" t="s">
        <v>80</v>
      </c>
      <c r="E101" t="s">
        <v>22</v>
      </c>
      <c r="F101" t="s">
        <v>25</v>
      </c>
      <c r="G101" t="s">
        <v>25</v>
      </c>
      <c r="H101" s="25">
        <v>0.45833333333333331</v>
      </c>
      <c r="I101" s="25">
        <v>0.46180555555555558</v>
      </c>
      <c r="J101" s="25">
        <v>0.51597222222222217</v>
      </c>
      <c r="K101" s="25">
        <v>0.51944444444444449</v>
      </c>
      <c r="L101" s="1">
        <f t="shared" si="4"/>
        <v>6.1111111111111172E-2</v>
      </c>
      <c r="M101" s="1">
        <f t="shared" si="5"/>
        <v>5.4166666666666585E-2</v>
      </c>
      <c r="N101" s="26">
        <v>3</v>
      </c>
      <c r="O101" t="s">
        <v>26</v>
      </c>
      <c r="Q101" t="s">
        <v>27</v>
      </c>
      <c r="S101" s="27">
        <v>2370</v>
      </c>
      <c r="T101" s="28">
        <f t="shared" si="6"/>
        <v>3476</v>
      </c>
      <c r="V101" t="str">
        <f t="shared" si="7"/>
        <v>OK</v>
      </c>
    </row>
    <row r="102" spans="1:22">
      <c r="A102" s="6">
        <v>45047</v>
      </c>
      <c r="B102" t="s">
        <v>22</v>
      </c>
      <c r="C102" t="s">
        <v>70</v>
      </c>
      <c r="D102" t="s">
        <v>24</v>
      </c>
      <c r="E102" t="s">
        <v>22</v>
      </c>
      <c r="F102" t="s">
        <v>25</v>
      </c>
      <c r="G102" t="s">
        <v>25</v>
      </c>
      <c r="H102" s="25">
        <v>0.53819444444444442</v>
      </c>
      <c r="I102" s="25">
        <v>0.54166666666666663</v>
      </c>
      <c r="J102" s="25">
        <v>0.5541666666666667</v>
      </c>
      <c r="K102" s="25">
        <v>0.55763888888888891</v>
      </c>
      <c r="L102" s="1">
        <f t="shared" si="4"/>
        <v>1.9444444444444486E-2</v>
      </c>
      <c r="M102" s="1">
        <f t="shared" si="5"/>
        <v>1.2500000000000067E-2</v>
      </c>
      <c r="N102" s="26">
        <v>1</v>
      </c>
      <c r="O102" t="s">
        <v>26</v>
      </c>
      <c r="Q102" t="s">
        <v>27</v>
      </c>
      <c r="S102" s="27">
        <v>2250</v>
      </c>
      <c r="T102" s="28">
        <f t="shared" si="6"/>
        <v>1050</v>
      </c>
      <c r="V102" t="str">
        <f t="shared" si="7"/>
        <v>OK</v>
      </c>
    </row>
    <row r="103" spans="1:22">
      <c r="A103" s="6">
        <v>45054</v>
      </c>
      <c r="B103" t="s">
        <v>22</v>
      </c>
      <c r="C103" t="s">
        <v>70</v>
      </c>
      <c r="D103" t="s">
        <v>24</v>
      </c>
      <c r="E103" t="s">
        <v>22</v>
      </c>
      <c r="F103" t="s">
        <v>25</v>
      </c>
      <c r="G103" t="s">
        <v>25</v>
      </c>
      <c r="H103" s="25">
        <v>0.2951388888888889</v>
      </c>
      <c r="I103" s="25">
        <v>0.2986111111111111</v>
      </c>
      <c r="J103" s="25">
        <v>0.36527777777777781</v>
      </c>
      <c r="K103" s="25">
        <v>0.36874999999999997</v>
      </c>
      <c r="L103" s="1">
        <f t="shared" si="4"/>
        <v>7.3611111111111072E-2</v>
      </c>
      <c r="M103" s="1">
        <f t="shared" si="5"/>
        <v>6.6666666666666707E-2</v>
      </c>
      <c r="N103" s="26">
        <v>3</v>
      </c>
      <c r="O103" t="s">
        <v>26</v>
      </c>
      <c r="Q103" t="s">
        <v>27</v>
      </c>
      <c r="S103" s="27">
        <v>2250</v>
      </c>
      <c r="T103" s="28">
        <f t="shared" si="6"/>
        <v>3975</v>
      </c>
      <c r="V103" t="str">
        <f t="shared" si="7"/>
        <v>OK</v>
      </c>
    </row>
    <row r="104" spans="1:22">
      <c r="A104" s="6">
        <v>45059</v>
      </c>
      <c r="B104" t="s">
        <v>22</v>
      </c>
      <c r="C104" t="s">
        <v>70</v>
      </c>
      <c r="D104" t="s">
        <v>24</v>
      </c>
      <c r="E104" t="s">
        <v>22</v>
      </c>
      <c r="F104" t="s">
        <v>25</v>
      </c>
      <c r="G104" t="s">
        <v>25</v>
      </c>
      <c r="H104" s="25">
        <v>0.34027777777777773</v>
      </c>
      <c r="I104" s="25">
        <v>0.34375</v>
      </c>
      <c r="J104" s="25">
        <v>0.38541666666666669</v>
      </c>
      <c r="K104" s="25">
        <v>0.3888888888888889</v>
      </c>
      <c r="L104" s="1">
        <f t="shared" si="4"/>
        <v>4.861111111111116E-2</v>
      </c>
      <c r="M104" s="1">
        <f t="shared" si="5"/>
        <v>4.1666666666666685E-2</v>
      </c>
      <c r="N104" s="26">
        <v>1</v>
      </c>
      <c r="O104" t="s">
        <v>26</v>
      </c>
      <c r="Q104" t="s">
        <v>27</v>
      </c>
      <c r="S104" s="27">
        <v>2250</v>
      </c>
      <c r="T104" s="28">
        <f t="shared" si="6"/>
        <v>2625</v>
      </c>
      <c r="V104" t="str">
        <f t="shared" si="7"/>
        <v>OK</v>
      </c>
    </row>
    <row r="105" spans="1:22">
      <c r="A105" s="6">
        <v>45066</v>
      </c>
      <c r="B105" t="s">
        <v>22</v>
      </c>
      <c r="C105" t="s">
        <v>82</v>
      </c>
      <c r="D105" t="s">
        <v>80</v>
      </c>
      <c r="E105" t="s">
        <v>22</v>
      </c>
      <c r="F105" t="s">
        <v>25</v>
      </c>
      <c r="G105" t="s">
        <v>25</v>
      </c>
      <c r="H105" s="25">
        <v>0.24305555555555555</v>
      </c>
      <c r="I105" s="25">
        <v>0.24652777777777779</v>
      </c>
      <c r="J105" s="25">
        <v>0.29236111111111113</v>
      </c>
      <c r="K105" s="25">
        <v>0.29583333333333334</v>
      </c>
      <c r="L105" s="1">
        <f t="shared" si="4"/>
        <v>5.2777777777777785E-2</v>
      </c>
      <c r="M105" s="1">
        <f t="shared" si="5"/>
        <v>4.5833333333333337E-2</v>
      </c>
      <c r="N105" s="26">
        <v>2</v>
      </c>
      <c r="O105" t="s">
        <v>26</v>
      </c>
      <c r="Q105" t="s">
        <v>27</v>
      </c>
      <c r="R105" t="s">
        <v>83</v>
      </c>
      <c r="S105" s="27">
        <v>2370</v>
      </c>
      <c r="T105" s="28">
        <f t="shared" si="6"/>
        <v>3002</v>
      </c>
      <c r="V105" t="str">
        <f t="shared" si="7"/>
        <v>OK</v>
      </c>
    </row>
    <row r="106" spans="1:22">
      <c r="A106" s="6">
        <v>45077</v>
      </c>
      <c r="B106" t="s">
        <v>22</v>
      </c>
      <c r="C106" t="s">
        <v>82</v>
      </c>
      <c r="D106" t="s">
        <v>80</v>
      </c>
      <c r="E106" t="s">
        <v>22</v>
      </c>
      <c r="F106" t="s">
        <v>25</v>
      </c>
      <c r="G106" t="s">
        <v>25</v>
      </c>
      <c r="H106" s="25">
        <v>0.65625</v>
      </c>
      <c r="I106" s="25">
        <v>0.65972222222222221</v>
      </c>
      <c r="J106" s="25">
        <v>0.71388888888888891</v>
      </c>
      <c r="K106" s="25">
        <v>0.71736111111111101</v>
      </c>
      <c r="L106" s="1">
        <f t="shared" si="4"/>
        <v>6.1111111111111005E-2</v>
      </c>
      <c r="M106" s="1">
        <f t="shared" si="5"/>
        <v>5.4166666666666696E-2</v>
      </c>
      <c r="N106" s="26">
        <v>2</v>
      </c>
      <c r="O106" t="s">
        <v>26</v>
      </c>
      <c r="Q106" t="s">
        <v>27</v>
      </c>
      <c r="S106" s="27">
        <v>2370</v>
      </c>
      <c r="T106" s="28">
        <f t="shared" si="6"/>
        <v>3476</v>
      </c>
      <c r="V106" t="str">
        <f t="shared" si="7"/>
        <v>OK</v>
      </c>
    </row>
    <row r="107" spans="1:22">
      <c r="A107" s="6">
        <v>45175</v>
      </c>
      <c r="B107" t="s">
        <v>22</v>
      </c>
      <c r="C107" t="s">
        <v>82</v>
      </c>
      <c r="D107" t="s">
        <v>80</v>
      </c>
      <c r="E107" t="s">
        <v>22</v>
      </c>
      <c r="F107" t="s">
        <v>25</v>
      </c>
      <c r="G107" t="s">
        <v>25</v>
      </c>
      <c r="H107" s="25">
        <v>0.59375</v>
      </c>
      <c r="I107" s="25">
        <v>0.59722222222222221</v>
      </c>
      <c r="J107" s="25">
        <v>0.66805555555555562</v>
      </c>
      <c r="K107" s="25">
        <v>0.67152777777777783</v>
      </c>
      <c r="L107" s="1">
        <f t="shared" si="4"/>
        <v>7.7777777777777835E-2</v>
      </c>
      <c r="M107" s="1">
        <f t="shared" si="5"/>
        <v>7.0833333333333415E-2</v>
      </c>
      <c r="N107" s="26">
        <v>2</v>
      </c>
      <c r="O107" t="s">
        <v>26</v>
      </c>
      <c r="Q107" t="s">
        <v>27</v>
      </c>
      <c r="R107" t="s">
        <v>84</v>
      </c>
      <c r="S107" s="27">
        <v>2370</v>
      </c>
      <c r="T107" s="28">
        <f t="shared" si="6"/>
        <v>4424</v>
      </c>
      <c r="V107" t="str">
        <f t="shared" si="7"/>
        <v>OK</v>
      </c>
    </row>
    <row r="108" spans="1:22">
      <c r="A108" s="6">
        <v>45181</v>
      </c>
      <c r="B108" t="s">
        <v>22</v>
      </c>
      <c r="C108" t="s">
        <v>82</v>
      </c>
      <c r="D108" t="s">
        <v>80</v>
      </c>
      <c r="E108" t="s">
        <v>22</v>
      </c>
      <c r="F108" t="s">
        <v>25</v>
      </c>
      <c r="G108" t="s">
        <v>85</v>
      </c>
      <c r="H108" s="25">
        <v>0.31597222222222221</v>
      </c>
      <c r="I108" s="25">
        <v>0.31944444444444448</v>
      </c>
      <c r="J108" s="25">
        <v>0.45277777777777778</v>
      </c>
      <c r="K108" s="25">
        <v>0.45624999999999999</v>
      </c>
      <c r="L108" s="1">
        <f t="shared" si="4"/>
        <v>0.14027777777777778</v>
      </c>
      <c r="M108" s="1">
        <f t="shared" si="5"/>
        <v>0.1333333333333333</v>
      </c>
      <c r="N108" s="26">
        <v>1</v>
      </c>
      <c r="O108" t="s">
        <v>26</v>
      </c>
      <c r="Q108" t="s">
        <v>27</v>
      </c>
      <c r="R108" t="s">
        <v>86</v>
      </c>
      <c r="S108" s="27">
        <v>2370</v>
      </c>
      <c r="T108" s="28">
        <f t="shared" si="6"/>
        <v>7979</v>
      </c>
      <c r="V108" t="str">
        <f t="shared" si="7"/>
        <v>OK</v>
      </c>
    </row>
    <row r="109" spans="1:22">
      <c r="A109" s="6">
        <v>45182</v>
      </c>
      <c r="B109" t="s">
        <v>22</v>
      </c>
      <c r="C109" t="s">
        <v>82</v>
      </c>
      <c r="D109" t="s">
        <v>80</v>
      </c>
      <c r="E109" t="s">
        <v>22</v>
      </c>
      <c r="F109" t="s">
        <v>85</v>
      </c>
      <c r="G109" t="s">
        <v>87</v>
      </c>
      <c r="H109" s="25">
        <v>0.34861111111111115</v>
      </c>
      <c r="I109" s="25">
        <v>0.3520833333333333</v>
      </c>
      <c r="J109" s="25">
        <v>0.45624999999999999</v>
      </c>
      <c r="K109" s="25">
        <v>0.49444444444444446</v>
      </c>
      <c r="L109" s="1">
        <f t="shared" si="4"/>
        <v>0.14583333333333331</v>
      </c>
      <c r="M109" s="1">
        <f t="shared" si="5"/>
        <v>0.10416666666666669</v>
      </c>
      <c r="N109" s="26">
        <v>1</v>
      </c>
      <c r="O109" t="s">
        <v>26</v>
      </c>
      <c r="Q109" t="s">
        <v>27</v>
      </c>
      <c r="R109" t="s">
        <v>88</v>
      </c>
      <c r="S109" s="27">
        <v>2370</v>
      </c>
      <c r="T109" s="28">
        <f t="shared" si="6"/>
        <v>8295</v>
      </c>
      <c r="V109" t="str">
        <f t="shared" si="7"/>
        <v>OK</v>
      </c>
    </row>
    <row r="110" spans="1:22">
      <c r="A110" s="6">
        <v>45183</v>
      </c>
      <c r="B110" t="s">
        <v>22</v>
      </c>
      <c r="C110" t="s">
        <v>82</v>
      </c>
      <c r="D110" t="s">
        <v>80</v>
      </c>
      <c r="E110" t="s">
        <v>22</v>
      </c>
      <c r="F110" t="s">
        <v>87</v>
      </c>
      <c r="G110" t="s">
        <v>87</v>
      </c>
      <c r="H110" s="25">
        <v>0.82986111111111116</v>
      </c>
      <c r="I110" s="25">
        <v>0.83333333333333337</v>
      </c>
      <c r="J110" s="25">
        <v>0.85416666666666663</v>
      </c>
      <c r="K110" s="25">
        <v>0.85763888888888884</v>
      </c>
      <c r="L110" s="1">
        <f t="shared" si="4"/>
        <v>2.7777777777777679E-2</v>
      </c>
      <c r="M110" s="1">
        <f t="shared" si="5"/>
        <v>2.0833333333333259E-2</v>
      </c>
      <c r="N110" s="26">
        <v>1</v>
      </c>
      <c r="O110" t="s">
        <v>26</v>
      </c>
      <c r="Q110" t="s">
        <v>27</v>
      </c>
      <c r="R110" t="s">
        <v>89</v>
      </c>
      <c r="S110" s="27">
        <v>2370</v>
      </c>
      <c r="T110" s="28">
        <f t="shared" si="6"/>
        <v>1580</v>
      </c>
      <c r="V110" t="str">
        <f t="shared" si="7"/>
        <v>OK</v>
      </c>
    </row>
    <row r="111" spans="1:22">
      <c r="A111" s="6">
        <v>45184</v>
      </c>
      <c r="B111" t="s">
        <v>22</v>
      </c>
      <c r="C111" t="s">
        <v>82</v>
      </c>
      <c r="D111" t="s">
        <v>80</v>
      </c>
      <c r="E111" t="s">
        <v>22</v>
      </c>
      <c r="F111" t="s">
        <v>87</v>
      </c>
      <c r="G111" t="s">
        <v>90</v>
      </c>
      <c r="H111" s="25">
        <v>0.46666666666666662</v>
      </c>
      <c r="I111" s="25">
        <v>0.4770833333333333</v>
      </c>
      <c r="J111" s="25">
        <v>0.56458333333333333</v>
      </c>
      <c r="K111" s="25">
        <v>0.56805555555555554</v>
      </c>
      <c r="L111" s="1">
        <f t="shared" si="4"/>
        <v>0.10138888888888892</v>
      </c>
      <c r="M111" s="1">
        <f t="shared" si="5"/>
        <v>8.7500000000000022E-2</v>
      </c>
      <c r="N111" s="26">
        <v>1</v>
      </c>
      <c r="O111" t="s">
        <v>26</v>
      </c>
      <c r="Q111" t="s">
        <v>27</v>
      </c>
      <c r="R111" t="s">
        <v>91</v>
      </c>
      <c r="S111" s="27">
        <v>2370</v>
      </c>
      <c r="T111" s="28">
        <f t="shared" si="6"/>
        <v>5767</v>
      </c>
      <c r="V111" t="str">
        <f t="shared" si="7"/>
        <v>OK</v>
      </c>
    </row>
    <row r="112" spans="1:22">
      <c r="A112" s="6">
        <v>45184</v>
      </c>
      <c r="B112" t="s">
        <v>22</v>
      </c>
      <c r="C112" t="s">
        <v>82</v>
      </c>
      <c r="D112" t="s">
        <v>80</v>
      </c>
      <c r="E112" t="s">
        <v>22</v>
      </c>
      <c r="F112" t="s">
        <v>90</v>
      </c>
      <c r="G112" t="s">
        <v>25</v>
      </c>
      <c r="H112" s="25">
        <v>0.5854166666666667</v>
      </c>
      <c r="I112" s="25">
        <v>0.58888888888888891</v>
      </c>
      <c r="J112" s="25">
        <v>0.69305555555555554</v>
      </c>
      <c r="K112" s="25">
        <v>0.69652777777777775</v>
      </c>
      <c r="L112" s="1">
        <f t="shared" si="4"/>
        <v>0.11111111111111105</v>
      </c>
      <c r="M112" s="1">
        <f t="shared" si="5"/>
        <v>0.10416666666666663</v>
      </c>
      <c r="N112" s="26">
        <v>1</v>
      </c>
      <c r="O112" t="s">
        <v>26</v>
      </c>
      <c r="Q112" t="s">
        <v>27</v>
      </c>
      <c r="R112" t="s">
        <v>92</v>
      </c>
      <c r="S112" s="27">
        <v>2370</v>
      </c>
      <c r="T112" s="28">
        <f t="shared" si="6"/>
        <v>6320</v>
      </c>
      <c r="V112" t="str">
        <f t="shared" si="7"/>
        <v>OK</v>
      </c>
    </row>
    <row r="113" spans="1:22">
      <c r="A113" s="6">
        <v>45197</v>
      </c>
      <c r="B113" t="s">
        <v>22</v>
      </c>
      <c r="C113" t="s">
        <v>82</v>
      </c>
      <c r="D113" t="s">
        <v>80</v>
      </c>
      <c r="E113" t="s">
        <v>22</v>
      </c>
      <c r="F113" t="s">
        <v>25</v>
      </c>
      <c r="G113" t="s">
        <v>25</v>
      </c>
      <c r="H113" s="25">
        <v>0.3354166666666667</v>
      </c>
      <c r="I113" s="25">
        <v>0.33888888888888885</v>
      </c>
      <c r="J113" s="25">
        <v>0.38472222222222219</v>
      </c>
      <c r="K113" s="25">
        <v>0.38819444444444445</v>
      </c>
      <c r="L113" s="1">
        <f t="shared" si="4"/>
        <v>5.2777777777777757E-2</v>
      </c>
      <c r="M113" s="1">
        <f t="shared" si="5"/>
        <v>4.5833333333333337E-2</v>
      </c>
      <c r="N113" s="26">
        <v>3</v>
      </c>
      <c r="O113" t="s">
        <v>26</v>
      </c>
      <c r="Q113" t="s">
        <v>27</v>
      </c>
      <c r="R113" t="s">
        <v>93</v>
      </c>
      <c r="S113" s="27">
        <v>2370</v>
      </c>
      <c r="T113" s="28">
        <f t="shared" si="6"/>
        <v>3002</v>
      </c>
      <c r="V113" t="str">
        <f t="shared" si="7"/>
        <v>OK</v>
      </c>
    </row>
    <row r="114" spans="1:22">
      <c r="A114" s="6">
        <v>45201</v>
      </c>
      <c r="B114" t="s">
        <v>22</v>
      </c>
      <c r="C114" t="s">
        <v>82</v>
      </c>
      <c r="D114" t="s">
        <v>80</v>
      </c>
      <c r="E114" t="s">
        <v>22</v>
      </c>
      <c r="F114" t="s">
        <v>25</v>
      </c>
      <c r="G114" t="s">
        <v>25</v>
      </c>
      <c r="H114" s="25">
        <v>0.67361111111111116</v>
      </c>
      <c r="I114" s="25">
        <v>0.67708333333333337</v>
      </c>
      <c r="J114" s="25">
        <v>0.70624999999999993</v>
      </c>
      <c r="K114" s="25">
        <v>0.70972222222222225</v>
      </c>
      <c r="L114" s="1">
        <f t="shared" si="4"/>
        <v>3.6111111111111094E-2</v>
      </c>
      <c r="M114" s="1">
        <f t="shared" si="5"/>
        <v>2.9166666666666563E-2</v>
      </c>
      <c r="N114" s="26">
        <v>7</v>
      </c>
      <c r="O114" t="s">
        <v>26</v>
      </c>
      <c r="Q114" t="s">
        <v>27</v>
      </c>
      <c r="S114" s="27">
        <v>2370</v>
      </c>
      <c r="T114" s="28">
        <f t="shared" si="6"/>
        <v>2054</v>
      </c>
      <c r="V114" t="str">
        <f t="shared" si="7"/>
        <v>OK</v>
      </c>
    </row>
    <row r="115" spans="1:22">
      <c r="A115" s="6">
        <v>45302</v>
      </c>
      <c r="B115" t="s">
        <v>22</v>
      </c>
      <c r="C115" t="s">
        <v>82</v>
      </c>
      <c r="D115" t="s">
        <v>80</v>
      </c>
      <c r="E115" t="s">
        <v>22</v>
      </c>
      <c r="F115" t="s">
        <v>25</v>
      </c>
      <c r="G115" t="s">
        <v>25</v>
      </c>
      <c r="H115" s="25">
        <v>0.41319444444444442</v>
      </c>
      <c r="I115" s="25">
        <v>0.41666666666666669</v>
      </c>
      <c r="J115" s="25">
        <v>0.45416666666666666</v>
      </c>
      <c r="K115" s="25">
        <v>0.45763888888888887</v>
      </c>
      <c r="L115" s="1">
        <f t="shared" si="4"/>
        <v>4.4444444444444453E-2</v>
      </c>
      <c r="M115" s="1">
        <f t="shared" si="5"/>
        <v>3.7499999999999978E-2</v>
      </c>
      <c r="N115" s="26">
        <v>6</v>
      </c>
      <c r="O115" t="s">
        <v>26</v>
      </c>
      <c r="Q115" t="s">
        <v>27</v>
      </c>
      <c r="S115" s="27">
        <v>2370</v>
      </c>
      <c r="T115" s="28">
        <f t="shared" si="6"/>
        <v>2528</v>
      </c>
      <c r="V115" t="str">
        <f t="shared" si="7"/>
        <v>OK</v>
      </c>
    </row>
    <row r="116" spans="1:22">
      <c r="A116" s="6">
        <v>45354</v>
      </c>
      <c r="B116" t="s">
        <v>22</v>
      </c>
      <c r="C116" t="s">
        <v>82</v>
      </c>
      <c r="D116" t="s">
        <v>80</v>
      </c>
      <c r="E116" t="s">
        <v>22</v>
      </c>
      <c r="F116" t="s">
        <v>25</v>
      </c>
      <c r="G116" t="s">
        <v>25</v>
      </c>
      <c r="H116" s="25">
        <v>0.62847222222222221</v>
      </c>
      <c r="I116" s="25">
        <v>0.63194444444444442</v>
      </c>
      <c r="J116" s="25">
        <v>0.69444444444444453</v>
      </c>
      <c r="K116" s="25">
        <v>0.69791666666666663</v>
      </c>
      <c r="L116" s="1">
        <f t="shared" si="4"/>
        <v>6.944444444444442E-2</v>
      </c>
      <c r="M116" s="1">
        <f t="shared" si="5"/>
        <v>6.2500000000000111E-2</v>
      </c>
      <c r="N116" s="26">
        <v>7</v>
      </c>
      <c r="O116" t="s">
        <v>26</v>
      </c>
      <c r="Q116" t="s">
        <v>27</v>
      </c>
      <c r="S116" s="27">
        <v>2370</v>
      </c>
      <c r="T116" s="28">
        <f t="shared" si="6"/>
        <v>3950</v>
      </c>
      <c r="V116" t="str">
        <f t="shared" si="7"/>
        <v>OK</v>
      </c>
    </row>
    <row r="117" spans="1:22">
      <c r="A117" s="6">
        <v>45368</v>
      </c>
      <c r="B117" t="s">
        <v>22</v>
      </c>
      <c r="C117" t="s">
        <v>82</v>
      </c>
      <c r="D117" t="s">
        <v>80</v>
      </c>
      <c r="E117" t="s">
        <v>22</v>
      </c>
      <c r="F117" t="s">
        <v>25</v>
      </c>
      <c r="G117" t="s">
        <v>25</v>
      </c>
      <c r="H117" s="25">
        <v>0.4548611111111111</v>
      </c>
      <c r="I117" s="25">
        <v>0.45833333333333331</v>
      </c>
      <c r="J117" s="25">
        <v>0.55833333333333335</v>
      </c>
      <c r="K117" s="25">
        <v>0.56180555555555556</v>
      </c>
      <c r="L117" s="1">
        <f t="shared" si="4"/>
        <v>0.10694444444444445</v>
      </c>
      <c r="M117" s="1">
        <f t="shared" si="5"/>
        <v>0.10000000000000003</v>
      </c>
      <c r="N117" s="26">
        <v>2</v>
      </c>
      <c r="O117" t="s">
        <v>26</v>
      </c>
      <c r="Q117" t="s">
        <v>27</v>
      </c>
      <c r="R117" t="s">
        <v>94</v>
      </c>
      <c r="S117" s="27">
        <v>2370</v>
      </c>
      <c r="T117" s="28">
        <f t="shared" si="6"/>
        <v>6083</v>
      </c>
      <c r="V117" t="str">
        <f t="shared" si="7"/>
        <v>OK</v>
      </c>
    </row>
    <row r="118" spans="1:22">
      <c r="A118" s="6">
        <v>45381</v>
      </c>
      <c r="B118" t="s">
        <v>22</v>
      </c>
      <c r="C118" t="s">
        <v>82</v>
      </c>
      <c r="D118" t="s">
        <v>80</v>
      </c>
      <c r="E118" t="s">
        <v>22</v>
      </c>
      <c r="F118" t="s">
        <v>25</v>
      </c>
      <c r="G118" t="s">
        <v>25</v>
      </c>
      <c r="H118" s="25">
        <v>0.46527777777777773</v>
      </c>
      <c r="I118" s="25">
        <v>0.46875</v>
      </c>
      <c r="J118" s="25">
        <v>0.49374999999999997</v>
      </c>
      <c r="K118" s="25">
        <v>0.49722222222222223</v>
      </c>
      <c r="L118" s="1">
        <f t="shared" si="4"/>
        <v>3.1944444444444497E-2</v>
      </c>
      <c r="M118" s="1">
        <f t="shared" si="5"/>
        <v>2.4999999999999967E-2</v>
      </c>
      <c r="N118" s="26">
        <v>5</v>
      </c>
      <c r="O118" t="s">
        <v>26</v>
      </c>
      <c r="P118" t="s">
        <v>31</v>
      </c>
      <c r="Q118" t="s">
        <v>32</v>
      </c>
      <c r="S118" s="27">
        <v>2370</v>
      </c>
      <c r="T118" s="28">
        <f t="shared" si="6"/>
        <v>1817</v>
      </c>
      <c r="V118" t="str">
        <f t="shared" si="7"/>
        <v>OK</v>
      </c>
    </row>
    <row r="119" spans="1:22">
      <c r="A119" s="6">
        <v>45386</v>
      </c>
      <c r="B119" t="s">
        <v>48</v>
      </c>
      <c r="C119" t="s">
        <v>95</v>
      </c>
      <c r="D119" t="s">
        <v>50</v>
      </c>
      <c r="E119" t="s">
        <v>51</v>
      </c>
      <c r="F119" t="s">
        <v>25</v>
      </c>
      <c r="G119" t="s">
        <v>25</v>
      </c>
      <c r="H119" s="25">
        <v>0.47569444444444442</v>
      </c>
      <c r="I119" s="25">
        <v>0.47916666666666669</v>
      </c>
      <c r="J119" s="25">
        <v>0.52083333333333337</v>
      </c>
      <c r="K119" s="25">
        <v>0.52430555555555558</v>
      </c>
      <c r="L119" s="1">
        <f t="shared" si="4"/>
        <v>4.861111111111116E-2</v>
      </c>
      <c r="M119" s="1">
        <f t="shared" si="5"/>
        <v>4.1666666666666685E-2</v>
      </c>
      <c r="N119" s="26">
        <v>6</v>
      </c>
      <c r="O119" t="s">
        <v>26</v>
      </c>
      <c r="P119" t="s">
        <v>96</v>
      </c>
      <c r="Q119" t="s">
        <v>32</v>
      </c>
      <c r="R119" t="s">
        <v>97</v>
      </c>
      <c r="S119" s="27">
        <v>3060</v>
      </c>
      <c r="T119" s="28">
        <f t="shared" si="6"/>
        <v>3570</v>
      </c>
      <c r="V119" t="str">
        <f t="shared" si="7"/>
        <v>OK</v>
      </c>
    </row>
    <row r="120" spans="1:22">
      <c r="A120" s="6">
        <v>45388</v>
      </c>
      <c r="B120" t="s">
        <v>22</v>
      </c>
      <c r="C120" t="s">
        <v>82</v>
      </c>
      <c r="D120" t="s">
        <v>80</v>
      </c>
      <c r="E120" t="s">
        <v>22</v>
      </c>
      <c r="F120" t="s">
        <v>25</v>
      </c>
      <c r="G120" t="s">
        <v>25</v>
      </c>
      <c r="H120" s="25">
        <v>0.34097222222222223</v>
      </c>
      <c r="I120" s="25">
        <v>0.3444444444444445</v>
      </c>
      <c r="J120" s="25">
        <v>0.35694444444444445</v>
      </c>
      <c r="K120" s="25">
        <v>0.36041666666666666</v>
      </c>
      <c r="L120" s="1">
        <f t="shared" si="4"/>
        <v>1.9444444444444431E-2</v>
      </c>
      <c r="M120" s="1">
        <f t="shared" si="5"/>
        <v>1.2499999999999956E-2</v>
      </c>
      <c r="N120" s="26">
        <v>4</v>
      </c>
      <c r="O120" t="s">
        <v>26</v>
      </c>
      <c r="Q120" t="s">
        <v>27</v>
      </c>
      <c r="S120" s="27">
        <v>2370</v>
      </c>
      <c r="T120" s="28">
        <f t="shared" si="6"/>
        <v>1106</v>
      </c>
      <c r="V120" t="str">
        <f t="shared" si="7"/>
        <v>OK</v>
      </c>
    </row>
    <row r="121" spans="1:22">
      <c r="A121" s="6">
        <v>45388</v>
      </c>
      <c r="B121" t="s">
        <v>22</v>
      </c>
      <c r="C121" t="s">
        <v>70</v>
      </c>
      <c r="D121" t="s">
        <v>24</v>
      </c>
      <c r="E121" t="s">
        <v>22</v>
      </c>
      <c r="F121" t="s">
        <v>25</v>
      </c>
      <c r="G121" t="s">
        <v>25</v>
      </c>
      <c r="H121" s="25">
        <v>0.71180555555555547</v>
      </c>
      <c r="I121" s="25">
        <v>0.71527777777777779</v>
      </c>
      <c r="J121" s="25">
        <v>0.74444444444444446</v>
      </c>
      <c r="K121" s="25">
        <v>0.74791666666666667</v>
      </c>
      <c r="L121" s="1">
        <f t="shared" si="4"/>
        <v>3.6111111111111205E-2</v>
      </c>
      <c r="M121" s="1">
        <f t="shared" si="5"/>
        <v>2.9166666666666674E-2</v>
      </c>
      <c r="N121" s="26">
        <v>1</v>
      </c>
      <c r="O121" t="s">
        <v>26</v>
      </c>
      <c r="Q121" t="s">
        <v>27</v>
      </c>
      <c r="S121" s="27">
        <v>2250</v>
      </c>
      <c r="T121" s="28">
        <f t="shared" si="6"/>
        <v>1950</v>
      </c>
      <c r="V121" t="str">
        <f t="shared" si="7"/>
        <v>OK</v>
      </c>
    </row>
    <row r="122" spans="1:22">
      <c r="A122" s="6">
        <v>45400</v>
      </c>
      <c r="B122" t="s">
        <v>48</v>
      </c>
      <c r="C122" t="s">
        <v>95</v>
      </c>
      <c r="D122" t="s">
        <v>50</v>
      </c>
      <c r="E122" t="s">
        <v>51</v>
      </c>
      <c r="F122" t="s">
        <v>25</v>
      </c>
      <c r="G122" t="s">
        <v>98</v>
      </c>
      <c r="H122" s="25">
        <v>0.64930555555555558</v>
      </c>
      <c r="I122" s="25">
        <v>0.65277777777777779</v>
      </c>
      <c r="J122" s="25">
        <v>0.70833333333333337</v>
      </c>
      <c r="K122" s="25">
        <v>0.71180555555555558</v>
      </c>
      <c r="L122" s="1">
        <f t="shared" si="4"/>
        <v>6.25E-2</v>
      </c>
      <c r="M122" s="1">
        <f t="shared" si="5"/>
        <v>5.555555555555558E-2</v>
      </c>
      <c r="N122" s="26">
        <v>2</v>
      </c>
      <c r="O122" t="s">
        <v>26</v>
      </c>
      <c r="P122" t="s">
        <v>96</v>
      </c>
      <c r="Q122" t="s">
        <v>32</v>
      </c>
      <c r="R122" t="s">
        <v>99</v>
      </c>
      <c r="S122" s="27">
        <v>3060</v>
      </c>
      <c r="T122" s="28">
        <f t="shared" si="6"/>
        <v>4590</v>
      </c>
      <c r="V122" t="str">
        <f t="shared" si="7"/>
        <v>OK</v>
      </c>
    </row>
    <row r="123" spans="1:22">
      <c r="A123" s="6">
        <v>45400</v>
      </c>
      <c r="B123" t="s">
        <v>48</v>
      </c>
      <c r="C123" t="s">
        <v>95</v>
      </c>
      <c r="D123" t="s">
        <v>50</v>
      </c>
      <c r="E123" t="s">
        <v>51</v>
      </c>
      <c r="F123" t="s">
        <v>98</v>
      </c>
      <c r="G123" t="s">
        <v>25</v>
      </c>
      <c r="H123" s="25">
        <v>0.71180555555555558</v>
      </c>
      <c r="I123" s="25">
        <v>0.71180555555555558</v>
      </c>
      <c r="J123" s="25">
        <v>0.72222222222222221</v>
      </c>
      <c r="K123" s="25">
        <v>0.72569444444444442</v>
      </c>
      <c r="L123" s="1">
        <f t="shared" si="4"/>
        <v>1.388888888888884E-2</v>
      </c>
      <c r="M123" s="1">
        <f t="shared" si="5"/>
        <v>1.041666666666663E-2</v>
      </c>
      <c r="N123" s="26">
        <v>5</v>
      </c>
      <c r="O123" t="s">
        <v>26</v>
      </c>
      <c r="P123" t="s">
        <v>96</v>
      </c>
      <c r="Q123" t="s">
        <v>32</v>
      </c>
      <c r="R123" t="s">
        <v>99</v>
      </c>
      <c r="S123" s="27">
        <v>3060</v>
      </c>
      <c r="T123" s="28">
        <f t="shared" si="6"/>
        <v>1020</v>
      </c>
      <c r="V123" t="str">
        <f t="shared" si="7"/>
        <v>OK</v>
      </c>
    </row>
    <row r="124" spans="1:22">
      <c r="A124" s="6">
        <v>45409</v>
      </c>
      <c r="B124" t="s">
        <v>22</v>
      </c>
      <c r="C124" t="s">
        <v>82</v>
      </c>
      <c r="D124" t="s">
        <v>80</v>
      </c>
      <c r="E124" t="s">
        <v>22</v>
      </c>
      <c r="F124" t="s">
        <v>25</v>
      </c>
      <c r="G124" t="s">
        <v>25</v>
      </c>
      <c r="H124" s="25">
        <v>0.39930555555555558</v>
      </c>
      <c r="I124" s="25">
        <v>0.40277777777777773</v>
      </c>
      <c r="J124" s="25">
        <v>0.45694444444444443</v>
      </c>
      <c r="K124" s="25">
        <v>0.4604166666666667</v>
      </c>
      <c r="L124" s="1">
        <f t="shared" si="4"/>
        <v>6.1111111111111116E-2</v>
      </c>
      <c r="M124" s="1">
        <f t="shared" si="5"/>
        <v>5.4166666666666696E-2</v>
      </c>
      <c r="N124" s="26">
        <v>3</v>
      </c>
      <c r="O124" t="s">
        <v>26</v>
      </c>
      <c r="Q124" t="s">
        <v>27</v>
      </c>
      <c r="R124" t="s">
        <v>100</v>
      </c>
      <c r="S124" s="27">
        <v>2370</v>
      </c>
      <c r="T124" s="28">
        <f t="shared" si="6"/>
        <v>3476</v>
      </c>
      <c r="V124" t="str">
        <f t="shared" si="7"/>
        <v>OK</v>
      </c>
    </row>
    <row r="125" spans="1:22">
      <c r="A125" s="6">
        <v>45415</v>
      </c>
      <c r="B125" t="s">
        <v>48</v>
      </c>
      <c r="C125" t="s">
        <v>95</v>
      </c>
      <c r="D125" t="s">
        <v>50</v>
      </c>
      <c r="E125" t="s">
        <v>51</v>
      </c>
      <c r="F125" t="s">
        <v>25</v>
      </c>
      <c r="G125" t="s">
        <v>25</v>
      </c>
      <c r="H125" s="25">
        <v>0.65833333333333333</v>
      </c>
      <c r="I125" s="25">
        <v>0.66180555555555554</v>
      </c>
      <c r="J125" s="25">
        <v>0.70694444444444449</v>
      </c>
      <c r="K125" s="25">
        <v>0.7104166666666667</v>
      </c>
      <c r="L125" s="1">
        <f t="shared" si="4"/>
        <v>5.208333333333337E-2</v>
      </c>
      <c r="M125" s="1">
        <f t="shared" si="5"/>
        <v>4.5138888888888951E-2</v>
      </c>
      <c r="N125" s="26">
        <v>1</v>
      </c>
      <c r="O125" t="s">
        <v>26</v>
      </c>
      <c r="P125" t="s">
        <v>96</v>
      </c>
      <c r="Q125" t="s">
        <v>32</v>
      </c>
      <c r="R125" t="s">
        <v>101</v>
      </c>
      <c r="S125" s="27">
        <v>3060</v>
      </c>
      <c r="T125" s="28">
        <f t="shared" si="6"/>
        <v>3825</v>
      </c>
      <c r="V125" t="str">
        <f t="shared" si="7"/>
        <v>OK</v>
      </c>
    </row>
    <row r="126" spans="1:22">
      <c r="A126" s="6">
        <v>45420</v>
      </c>
      <c r="B126" t="s">
        <v>22</v>
      </c>
      <c r="C126" t="s">
        <v>82</v>
      </c>
      <c r="D126" t="s">
        <v>80</v>
      </c>
      <c r="E126" t="s">
        <v>22</v>
      </c>
      <c r="F126" t="s">
        <v>25</v>
      </c>
      <c r="G126" t="s">
        <v>25</v>
      </c>
      <c r="H126" s="25">
        <v>0.30902777777777779</v>
      </c>
      <c r="I126" s="25">
        <v>0.3125</v>
      </c>
      <c r="J126" s="25">
        <v>0.38750000000000001</v>
      </c>
      <c r="K126" s="25">
        <v>0.39097222222222222</v>
      </c>
      <c r="L126" s="1">
        <f t="shared" si="4"/>
        <v>8.1944444444444431E-2</v>
      </c>
      <c r="M126" s="1">
        <f t="shared" si="5"/>
        <v>7.5000000000000011E-2</v>
      </c>
      <c r="N126" s="26">
        <v>3</v>
      </c>
      <c r="O126" t="s">
        <v>26</v>
      </c>
      <c r="Q126" t="s">
        <v>27</v>
      </c>
      <c r="S126" s="27">
        <v>2370</v>
      </c>
      <c r="T126" s="28">
        <f t="shared" si="6"/>
        <v>4661</v>
      </c>
      <c r="V126" t="str">
        <f t="shared" si="7"/>
        <v>OK</v>
      </c>
    </row>
    <row r="127" spans="1:22">
      <c r="A127" s="6">
        <v>45427</v>
      </c>
      <c r="B127" t="s">
        <v>48</v>
      </c>
      <c r="C127" t="s">
        <v>95</v>
      </c>
      <c r="D127" t="s">
        <v>50</v>
      </c>
      <c r="E127" t="s">
        <v>51</v>
      </c>
      <c r="F127" t="s">
        <v>25</v>
      </c>
      <c r="G127" t="s">
        <v>25</v>
      </c>
      <c r="H127" s="25">
        <v>0.65625</v>
      </c>
      <c r="I127" s="25">
        <v>0.65972222222222221</v>
      </c>
      <c r="J127" s="25">
        <v>0.72222222222222221</v>
      </c>
      <c r="K127" s="25">
        <v>0.72569444444444442</v>
      </c>
      <c r="L127" s="1">
        <f t="shared" si="4"/>
        <v>6.944444444444442E-2</v>
      </c>
      <c r="M127" s="1">
        <f t="shared" si="5"/>
        <v>6.25E-2</v>
      </c>
      <c r="N127" s="26">
        <v>3</v>
      </c>
      <c r="O127" t="s">
        <v>26</v>
      </c>
      <c r="P127" t="s">
        <v>96</v>
      </c>
      <c r="Q127" t="s">
        <v>32</v>
      </c>
      <c r="R127" t="s">
        <v>102</v>
      </c>
      <c r="S127" s="27">
        <v>3060</v>
      </c>
      <c r="T127" s="28">
        <f t="shared" si="6"/>
        <v>5100</v>
      </c>
      <c r="V127" t="str">
        <f t="shared" si="7"/>
        <v>OK</v>
      </c>
    </row>
    <row r="128" spans="1:22">
      <c r="A128" s="6">
        <v>45439</v>
      </c>
      <c r="B128" t="s">
        <v>48</v>
      </c>
      <c r="C128" t="s">
        <v>95</v>
      </c>
      <c r="D128" t="s">
        <v>50</v>
      </c>
      <c r="E128" t="s">
        <v>51</v>
      </c>
      <c r="F128" t="s">
        <v>25</v>
      </c>
      <c r="G128" t="s">
        <v>25</v>
      </c>
      <c r="H128" s="25">
        <v>0.4236111111111111</v>
      </c>
      <c r="I128" s="25">
        <v>0.42708333333333331</v>
      </c>
      <c r="J128" s="25">
        <v>0.48749999999999999</v>
      </c>
      <c r="K128" s="25">
        <v>0.4909722222222222</v>
      </c>
      <c r="L128" s="1">
        <f t="shared" si="4"/>
        <v>6.7361111111111094E-2</v>
      </c>
      <c r="M128" s="1">
        <f t="shared" si="5"/>
        <v>6.0416666666666674E-2</v>
      </c>
      <c r="N128" s="26">
        <v>5</v>
      </c>
      <c r="O128" t="s">
        <v>26</v>
      </c>
      <c r="P128" t="s">
        <v>31</v>
      </c>
      <c r="Q128" t="s">
        <v>32</v>
      </c>
      <c r="S128" s="27">
        <v>3060</v>
      </c>
      <c r="T128" s="28">
        <f t="shared" si="6"/>
        <v>4947</v>
      </c>
      <c r="V128" t="str">
        <f t="shared" si="7"/>
        <v>OK</v>
      </c>
    </row>
    <row r="129" spans="1:22">
      <c r="A129" s="6">
        <v>45448</v>
      </c>
      <c r="B129" t="s">
        <v>22</v>
      </c>
      <c r="C129" t="s">
        <v>103</v>
      </c>
      <c r="D129" t="s">
        <v>24</v>
      </c>
      <c r="E129" t="s">
        <v>22</v>
      </c>
      <c r="F129" t="s">
        <v>25</v>
      </c>
      <c r="G129" t="s">
        <v>25</v>
      </c>
      <c r="H129" s="25">
        <v>0.66319444444444442</v>
      </c>
      <c r="I129" s="25">
        <v>0.66666666666666663</v>
      </c>
      <c r="J129" s="25">
        <v>0.68333333333333324</v>
      </c>
      <c r="K129" s="25">
        <v>0.68680555555555556</v>
      </c>
      <c r="L129" s="1">
        <f t="shared" si="4"/>
        <v>2.3611111111111138E-2</v>
      </c>
      <c r="M129" s="1">
        <f t="shared" si="5"/>
        <v>1.6666666666666607E-2</v>
      </c>
      <c r="N129" s="26">
        <v>5</v>
      </c>
      <c r="O129" t="s">
        <v>26</v>
      </c>
      <c r="Q129" t="s">
        <v>27</v>
      </c>
      <c r="S129" s="27">
        <v>2250</v>
      </c>
      <c r="T129" s="28">
        <f t="shared" si="6"/>
        <v>1275</v>
      </c>
      <c r="V129" t="str">
        <f t="shared" si="7"/>
        <v>OK</v>
      </c>
    </row>
    <row r="130" spans="1:22">
      <c r="A130" s="6">
        <v>45448</v>
      </c>
      <c r="B130" t="s">
        <v>22</v>
      </c>
      <c r="C130" t="s">
        <v>103</v>
      </c>
      <c r="D130" t="s">
        <v>24</v>
      </c>
      <c r="E130" t="s">
        <v>22</v>
      </c>
      <c r="F130" t="s">
        <v>25</v>
      </c>
      <c r="G130" t="s">
        <v>25</v>
      </c>
      <c r="H130" s="25">
        <v>0.72222222222222221</v>
      </c>
      <c r="I130" s="25">
        <v>0.72569444444444453</v>
      </c>
      <c r="J130" s="25">
        <v>0.74236111111111114</v>
      </c>
      <c r="K130" s="25">
        <v>0.74583333333333324</v>
      </c>
      <c r="L130" s="1">
        <f t="shared" ref="L130:L193" si="8">IF($A130="","",IF(AND(ISNUMBER($H130),ISNUMBER($K130)),MOD($K130-$H130,1),""))</f>
        <v>2.3611111111111027E-2</v>
      </c>
      <c r="M130" s="1">
        <f t="shared" ref="M130:M193" si="9">IF($A130="","",IF(AND(ISNUMBER($I130),ISNUMBER($J130)),MOD($J130-$I130,1),""))</f>
        <v>1.6666666666666607E-2</v>
      </c>
      <c r="N130" s="26">
        <v>1</v>
      </c>
      <c r="O130" t="s">
        <v>26</v>
      </c>
      <c r="Q130" t="s">
        <v>27</v>
      </c>
      <c r="S130" s="27">
        <v>2250</v>
      </c>
      <c r="T130" s="28">
        <f t="shared" si="6"/>
        <v>1275</v>
      </c>
      <c r="V130" t="str">
        <f t="shared" si="7"/>
        <v>OK</v>
      </c>
    </row>
    <row r="131" spans="1:22">
      <c r="A131" s="6">
        <v>45448</v>
      </c>
      <c r="B131" t="s">
        <v>22</v>
      </c>
      <c r="C131" t="s">
        <v>103</v>
      </c>
      <c r="D131" t="s">
        <v>24</v>
      </c>
      <c r="E131" t="s">
        <v>22</v>
      </c>
      <c r="F131" t="s">
        <v>25</v>
      </c>
      <c r="G131" t="s">
        <v>25</v>
      </c>
      <c r="H131" s="25">
        <v>0.74652777777777779</v>
      </c>
      <c r="I131" s="25">
        <v>0.75</v>
      </c>
      <c r="J131" s="25">
        <v>0.7583333333333333</v>
      </c>
      <c r="K131" s="25">
        <v>0.76180555555555562</v>
      </c>
      <c r="L131" s="1">
        <f t="shared" si="8"/>
        <v>1.5277777777777835E-2</v>
      </c>
      <c r="M131" s="1">
        <f t="shared" si="9"/>
        <v>8.3333333333333037E-3</v>
      </c>
      <c r="N131" s="26">
        <v>3</v>
      </c>
      <c r="O131" t="s">
        <v>26</v>
      </c>
      <c r="Q131" t="s">
        <v>27</v>
      </c>
      <c r="S131" s="27">
        <v>2250</v>
      </c>
      <c r="T131" s="28">
        <f t="shared" si="6"/>
        <v>825</v>
      </c>
      <c r="V131" t="str">
        <f t="shared" si="7"/>
        <v>OK</v>
      </c>
    </row>
    <row r="132" spans="1:22">
      <c r="A132" s="6">
        <v>45451</v>
      </c>
      <c r="B132" t="s">
        <v>22</v>
      </c>
      <c r="C132" t="s">
        <v>104</v>
      </c>
      <c r="D132" t="s">
        <v>105</v>
      </c>
      <c r="E132" t="s">
        <v>22</v>
      </c>
      <c r="F132" t="s">
        <v>106</v>
      </c>
      <c r="G132" t="s">
        <v>63</v>
      </c>
      <c r="H132" s="25">
        <v>0.35069444444444442</v>
      </c>
      <c r="I132" s="25">
        <v>0.35416666666666669</v>
      </c>
      <c r="J132" s="25">
        <v>0.43194444444444446</v>
      </c>
      <c r="K132" s="25">
        <v>0.43541666666666667</v>
      </c>
      <c r="L132" s="1">
        <f t="shared" si="8"/>
        <v>8.4722222222222254E-2</v>
      </c>
      <c r="M132" s="1">
        <f t="shared" si="9"/>
        <v>7.7777777777777779E-2</v>
      </c>
      <c r="N132" s="26">
        <v>1</v>
      </c>
      <c r="O132" t="s">
        <v>107</v>
      </c>
      <c r="Q132" t="s">
        <v>108</v>
      </c>
      <c r="S132" s="27">
        <v>3500</v>
      </c>
      <c r="T132" s="28">
        <f t="shared" si="6"/>
        <v>7116.67</v>
      </c>
      <c r="V132" t="str">
        <f t="shared" si="7"/>
        <v>OK</v>
      </c>
    </row>
    <row r="133" spans="1:22">
      <c r="A133" s="6">
        <v>45452</v>
      </c>
      <c r="B133" t="s">
        <v>22</v>
      </c>
      <c r="C133" t="s">
        <v>103</v>
      </c>
      <c r="D133" t="s">
        <v>24</v>
      </c>
      <c r="E133" t="s">
        <v>22</v>
      </c>
      <c r="F133" t="s">
        <v>25</v>
      </c>
      <c r="G133" t="s">
        <v>25</v>
      </c>
      <c r="H133" s="25">
        <v>0.3298611111111111</v>
      </c>
      <c r="I133" s="25">
        <v>0.33333333333333331</v>
      </c>
      <c r="J133" s="25">
        <v>0.42083333333333334</v>
      </c>
      <c r="K133" s="25">
        <v>0.42430555555555555</v>
      </c>
      <c r="L133" s="1">
        <f t="shared" si="8"/>
        <v>9.4444444444444442E-2</v>
      </c>
      <c r="M133" s="1">
        <f t="shared" si="9"/>
        <v>8.7500000000000022E-2</v>
      </c>
      <c r="N133" s="26">
        <v>4</v>
      </c>
      <c r="O133" t="s">
        <v>26</v>
      </c>
      <c r="Q133" t="s">
        <v>27</v>
      </c>
      <c r="S133" s="27">
        <v>2250</v>
      </c>
      <c r="T133" s="28">
        <f t="shared" ref="T133:T211" si="10">IF($A133="","",IF(OR($S133="", $S133&lt;=0, $L133=""),"",ROUND($L133*24*$S133,2)))</f>
        <v>5100</v>
      </c>
      <c r="V133" t="str">
        <f t="shared" ref="V133:V211" si="11">IF($A133="","",IF(OR(YEAR($A133)&lt;2020,YEAR($A133)&gt;2030),"Podezřelé datum",IF(OR($F133="",$G133=""),"Chybí letiště",IF(OR($H133="",$I133="",$J133="",$K133=""),"Chybí čas",IF(OR($H133&gt;$I133,$I133&gt;$J133,$J133&gt;$K133),"Časy mimo pořadí",IF($M133&gt;$L133,"Air &gt; Block",IF(OR($S133="", $S133&lt;=0),"Chybí sazba","OK")))))))</f>
        <v>OK</v>
      </c>
    </row>
    <row r="134" spans="1:22">
      <c r="A134" s="6">
        <v>45477</v>
      </c>
      <c r="B134" t="s">
        <v>22</v>
      </c>
      <c r="C134" t="s">
        <v>103</v>
      </c>
      <c r="D134" t="s">
        <v>24</v>
      </c>
      <c r="E134" t="s">
        <v>22</v>
      </c>
      <c r="F134" t="s">
        <v>25</v>
      </c>
      <c r="G134" t="s">
        <v>109</v>
      </c>
      <c r="H134" s="25">
        <v>0.49652777777777773</v>
      </c>
      <c r="I134" s="25">
        <v>0.5</v>
      </c>
      <c r="J134" s="25">
        <v>0.64583333333333337</v>
      </c>
      <c r="K134" s="25">
        <v>0.64930555555555558</v>
      </c>
      <c r="L134" s="1">
        <f t="shared" si="8"/>
        <v>0.15277777777777785</v>
      </c>
      <c r="M134" s="1">
        <f t="shared" si="9"/>
        <v>0.14583333333333337</v>
      </c>
      <c r="N134" s="26">
        <v>1</v>
      </c>
      <c r="O134" t="s">
        <v>26</v>
      </c>
      <c r="Q134" t="s">
        <v>27</v>
      </c>
      <c r="R134" t="s">
        <v>110</v>
      </c>
      <c r="S134" s="27">
        <v>2250</v>
      </c>
      <c r="T134" s="28">
        <f t="shared" si="10"/>
        <v>8250</v>
      </c>
      <c r="V134" t="str">
        <f t="shared" si="11"/>
        <v>OK</v>
      </c>
    </row>
    <row r="135" spans="1:22">
      <c r="A135" s="6">
        <v>45478</v>
      </c>
      <c r="B135" t="s">
        <v>22</v>
      </c>
      <c r="C135" t="s">
        <v>103</v>
      </c>
      <c r="D135" t="s">
        <v>24</v>
      </c>
      <c r="E135" t="s">
        <v>22</v>
      </c>
      <c r="F135" t="s">
        <v>109</v>
      </c>
      <c r="G135" t="s">
        <v>109</v>
      </c>
      <c r="H135" s="25">
        <v>0.73263888888888884</v>
      </c>
      <c r="I135" s="25">
        <v>0.73611111111111116</v>
      </c>
      <c r="J135" s="25">
        <v>0.77777777777777779</v>
      </c>
      <c r="K135" s="25">
        <v>0.78125</v>
      </c>
      <c r="L135" s="1">
        <f t="shared" si="8"/>
        <v>4.861111111111116E-2</v>
      </c>
      <c r="M135" s="1">
        <f t="shared" si="9"/>
        <v>4.166666666666663E-2</v>
      </c>
      <c r="N135" s="26">
        <v>1</v>
      </c>
      <c r="O135" t="s">
        <v>26</v>
      </c>
      <c r="Q135" t="s">
        <v>27</v>
      </c>
      <c r="R135" t="s">
        <v>111</v>
      </c>
      <c r="S135" s="27">
        <v>2250</v>
      </c>
      <c r="T135" s="28">
        <f t="shared" si="10"/>
        <v>2625</v>
      </c>
      <c r="V135" t="str">
        <f t="shared" si="11"/>
        <v>OK</v>
      </c>
    </row>
    <row r="136" spans="1:22">
      <c r="A136" s="6">
        <v>45479</v>
      </c>
      <c r="B136" t="s">
        <v>22</v>
      </c>
      <c r="C136" t="s">
        <v>103</v>
      </c>
      <c r="D136" t="s">
        <v>24</v>
      </c>
      <c r="E136" t="s">
        <v>22</v>
      </c>
      <c r="F136" t="s">
        <v>109</v>
      </c>
      <c r="G136" t="s">
        <v>112</v>
      </c>
      <c r="H136" s="25">
        <v>0.51041666666666663</v>
      </c>
      <c r="I136" s="25">
        <v>0.51388888888888895</v>
      </c>
      <c r="J136" s="25">
        <v>0.59305555555555556</v>
      </c>
      <c r="K136" s="25">
        <v>0.59652777777777777</v>
      </c>
      <c r="L136" s="1">
        <f t="shared" si="8"/>
        <v>8.6111111111111138E-2</v>
      </c>
      <c r="M136" s="1">
        <f t="shared" si="9"/>
        <v>7.9166666666666607E-2</v>
      </c>
      <c r="N136" s="26">
        <v>1</v>
      </c>
      <c r="O136" t="s">
        <v>26</v>
      </c>
      <c r="Q136" t="s">
        <v>27</v>
      </c>
      <c r="R136" t="s">
        <v>113</v>
      </c>
      <c r="S136" s="27">
        <v>2250</v>
      </c>
      <c r="T136" s="28">
        <f t="shared" si="10"/>
        <v>4650</v>
      </c>
      <c r="V136" t="str">
        <f t="shared" si="11"/>
        <v>OK</v>
      </c>
    </row>
    <row r="137" spans="1:22">
      <c r="A137" s="6">
        <v>45480</v>
      </c>
      <c r="B137" t="s">
        <v>22</v>
      </c>
      <c r="C137" t="s">
        <v>103</v>
      </c>
      <c r="D137" t="s">
        <v>24</v>
      </c>
      <c r="E137" t="s">
        <v>22</v>
      </c>
      <c r="F137" t="s">
        <v>112</v>
      </c>
      <c r="G137" t="s">
        <v>114</v>
      </c>
      <c r="H137" s="25">
        <v>0.3888888888888889</v>
      </c>
      <c r="I137" s="25">
        <v>0.3923611111111111</v>
      </c>
      <c r="J137" s="25">
        <v>0.47569444444444442</v>
      </c>
      <c r="K137" s="25">
        <v>0.47916666666666669</v>
      </c>
      <c r="L137" s="1">
        <f t="shared" si="8"/>
        <v>9.027777777777779E-2</v>
      </c>
      <c r="M137" s="1">
        <f t="shared" si="9"/>
        <v>8.3333333333333315E-2</v>
      </c>
      <c r="N137" s="26">
        <v>1</v>
      </c>
      <c r="O137" t="s">
        <v>26</v>
      </c>
      <c r="Q137" t="s">
        <v>27</v>
      </c>
      <c r="R137" t="s">
        <v>115</v>
      </c>
      <c r="S137" s="27">
        <v>2250</v>
      </c>
      <c r="T137" s="28">
        <f t="shared" si="10"/>
        <v>4875</v>
      </c>
      <c r="V137" t="str">
        <f t="shared" si="11"/>
        <v>OK</v>
      </c>
    </row>
    <row r="138" spans="1:22">
      <c r="A138" s="6">
        <v>45481</v>
      </c>
      <c r="B138" t="s">
        <v>22</v>
      </c>
      <c r="C138" t="s">
        <v>103</v>
      </c>
      <c r="D138" t="s">
        <v>24</v>
      </c>
      <c r="E138" t="s">
        <v>22</v>
      </c>
      <c r="F138" t="s">
        <v>114</v>
      </c>
      <c r="G138" t="s">
        <v>25</v>
      </c>
      <c r="H138" s="25">
        <v>0.45555555555555555</v>
      </c>
      <c r="I138" s="25">
        <v>0.45902777777777781</v>
      </c>
      <c r="J138" s="25">
        <v>0.55902777777777779</v>
      </c>
      <c r="K138" s="25">
        <v>0.5625</v>
      </c>
      <c r="L138" s="1">
        <f t="shared" si="8"/>
        <v>0.10694444444444445</v>
      </c>
      <c r="M138" s="1">
        <f t="shared" si="9"/>
        <v>9.9999999999999978E-2</v>
      </c>
      <c r="N138" s="26">
        <v>1</v>
      </c>
      <c r="O138" t="s">
        <v>26</v>
      </c>
      <c r="Q138" t="s">
        <v>27</v>
      </c>
      <c r="R138" t="s">
        <v>116</v>
      </c>
      <c r="S138" s="27">
        <v>2250</v>
      </c>
      <c r="T138" s="28">
        <f t="shared" si="10"/>
        <v>5775</v>
      </c>
      <c r="V138" t="str">
        <f t="shared" si="11"/>
        <v>OK</v>
      </c>
    </row>
    <row r="139" spans="1:22">
      <c r="A139" s="6">
        <v>45488</v>
      </c>
      <c r="B139" t="s">
        <v>22</v>
      </c>
      <c r="C139" t="s">
        <v>82</v>
      </c>
      <c r="D139" t="s">
        <v>80</v>
      </c>
      <c r="E139" t="s">
        <v>22</v>
      </c>
      <c r="F139" t="s">
        <v>25</v>
      </c>
      <c r="G139" t="s">
        <v>25</v>
      </c>
      <c r="H139" s="25">
        <v>0.74652777777777779</v>
      </c>
      <c r="I139" s="25">
        <v>0.75</v>
      </c>
      <c r="J139" s="25">
        <v>0.77500000000000002</v>
      </c>
      <c r="K139" s="25">
        <v>0.77847222222222223</v>
      </c>
      <c r="L139" s="1">
        <f t="shared" si="8"/>
        <v>3.1944444444444442E-2</v>
      </c>
      <c r="M139" s="1">
        <f t="shared" si="9"/>
        <v>2.5000000000000022E-2</v>
      </c>
      <c r="N139" s="26">
        <v>5</v>
      </c>
      <c r="O139" t="s">
        <v>26</v>
      </c>
      <c r="Q139" t="s">
        <v>27</v>
      </c>
      <c r="S139" s="27">
        <v>2370</v>
      </c>
      <c r="T139" s="28">
        <f t="shared" si="10"/>
        <v>1817</v>
      </c>
      <c r="V139" t="str">
        <f t="shared" si="11"/>
        <v>OK</v>
      </c>
    </row>
    <row r="140" spans="1:22">
      <c r="A140" s="6">
        <v>45493</v>
      </c>
      <c r="B140" t="s">
        <v>22</v>
      </c>
      <c r="C140" t="s">
        <v>103</v>
      </c>
      <c r="D140" t="s">
        <v>24</v>
      </c>
      <c r="E140" t="s">
        <v>22</v>
      </c>
      <c r="F140" t="s">
        <v>25</v>
      </c>
      <c r="G140" t="s">
        <v>25</v>
      </c>
      <c r="H140" s="25">
        <v>0.47222222222222227</v>
      </c>
      <c r="I140" s="25">
        <v>0.47569444444444442</v>
      </c>
      <c r="J140" s="25">
        <v>0.50069444444444444</v>
      </c>
      <c r="K140" s="25">
        <v>0.50416666666666665</v>
      </c>
      <c r="L140" s="1">
        <f t="shared" si="8"/>
        <v>3.1944444444444386E-2</v>
      </c>
      <c r="M140" s="1">
        <f t="shared" si="9"/>
        <v>2.5000000000000022E-2</v>
      </c>
      <c r="N140" s="26">
        <v>2</v>
      </c>
      <c r="O140" t="s">
        <v>26</v>
      </c>
      <c r="Q140" t="s">
        <v>27</v>
      </c>
      <c r="S140" s="27">
        <v>2250</v>
      </c>
      <c r="T140" s="28">
        <f t="shared" si="10"/>
        <v>1725</v>
      </c>
      <c r="V140" t="str">
        <f t="shared" si="11"/>
        <v>OK</v>
      </c>
    </row>
    <row r="141" spans="1:22">
      <c r="A141" s="6">
        <v>45493</v>
      </c>
      <c r="B141" t="s">
        <v>22</v>
      </c>
      <c r="C141" t="s">
        <v>82</v>
      </c>
      <c r="D141" t="s">
        <v>80</v>
      </c>
      <c r="E141" t="s">
        <v>22</v>
      </c>
      <c r="F141" t="s">
        <v>25</v>
      </c>
      <c r="G141" t="s">
        <v>25</v>
      </c>
      <c r="H141" s="25">
        <v>0.64930555555555558</v>
      </c>
      <c r="I141" s="25">
        <v>0.65277777777777779</v>
      </c>
      <c r="J141" s="25">
        <v>0.68194444444444446</v>
      </c>
      <c r="K141" s="25">
        <v>0.68541666666666667</v>
      </c>
      <c r="L141" s="1">
        <f t="shared" si="8"/>
        <v>3.6111111111111094E-2</v>
      </c>
      <c r="M141" s="1">
        <f t="shared" si="9"/>
        <v>2.9166666666666674E-2</v>
      </c>
      <c r="N141" s="26">
        <v>2</v>
      </c>
      <c r="O141" t="s">
        <v>26</v>
      </c>
      <c r="Q141" t="s">
        <v>27</v>
      </c>
      <c r="S141" s="27">
        <v>2370</v>
      </c>
      <c r="T141" s="28">
        <f t="shared" si="10"/>
        <v>2054</v>
      </c>
      <c r="V141" t="str">
        <f t="shared" si="11"/>
        <v>OK</v>
      </c>
    </row>
    <row r="142" spans="1:22">
      <c r="A142" s="6">
        <v>45500</v>
      </c>
      <c r="B142" t="s">
        <v>22</v>
      </c>
      <c r="C142" t="s">
        <v>82</v>
      </c>
      <c r="D142" t="s">
        <v>80</v>
      </c>
      <c r="E142" t="s">
        <v>22</v>
      </c>
      <c r="F142" t="s">
        <v>25</v>
      </c>
      <c r="G142" t="s">
        <v>25</v>
      </c>
      <c r="H142" s="25">
        <v>0.59027777777777779</v>
      </c>
      <c r="I142" s="25">
        <v>0.59375</v>
      </c>
      <c r="J142" s="25">
        <v>0.6479166666666667</v>
      </c>
      <c r="K142" s="25">
        <v>0.65138888888888891</v>
      </c>
      <c r="L142" s="1">
        <f t="shared" si="8"/>
        <v>6.1111111111111116E-2</v>
      </c>
      <c r="M142" s="1">
        <f t="shared" si="9"/>
        <v>5.4166666666666696E-2</v>
      </c>
      <c r="N142" s="26">
        <v>2</v>
      </c>
      <c r="O142" t="s">
        <v>26</v>
      </c>
      <c r="Q142" t="s">
        <v>27</v>
      </c>
      <c r="S142" s="27">
        <v>2370</v>
      </c>
      <c r="T142" s="28">
        <f t="shared" si="10"/>
        <v>3476</v>
      </c>
      <c r="V142" t="str">
        <f t="shared" si="11"/>
        <v>OK</v>
      </c>
    </row>
    <row r="143" spans="1:22">
      <c r="A143" s="6">
        <v>45524</v>
      </c>
      <c r="B143" t="s">
        <v>22</v>
      </c>
      <c r="C143" t="s">
        <v>103</v>
      </c>
      <c r="D143" t="s">
        <v>24</v>
      </c>
      <c r="E143" t="s">
        <v>22</v>
      </c>
      <c r="F143" t="s">
        <v>25</v>
      </c>
      <c r="G143" t="s">
        <v>25</v>
      </c>
      <c r="H143" s="25">
        <v>0.35069444444444442</v>
      </c>
      <c r="I143" s="25">
        <v>0.35416666666666669</v>
      </c>
      <c r="J143" s="25">
        <v>0.35833333333333334</v>
      </c>
      <c r="K143" s="25">
        <v>0.36180555555555555</v>
      </c>
      <c r="L143" s="1">
        <f t="shared" si="8"/>
        <v>1.1111111111111127E-2</v>
      </c>
      <c r="M143" s="1">
        <f t="shared" si="9"/>
        <v>4.1666666666666519E-3</v>
      </c>
      <c r="N143" s="26">
        <v>1</v>
      </c>
      <c r="O143" t="s">
        <v>26</v>
      </c>
      <c r="Q143" t="s">
        <v>27</v>
      </c>
      <c r="S143" s="27">
        <v>2250</v>
      </c>
      <c r="T143" s="28">
        <f t="shared" si="10"/>
        <v>600</v>
      </c>
      <c r="V143" t="str">
        <f t="shared" si="11"/>
        <v>OK</v>
      </c>
    </row>
    <row r="144" spans="1:22">
      <c r="A144" s="6">
        <v>45539</v>
      </c>
      <c r="B144" t="s">
        <v>22</v>
      </c>
      <c r="C144" t="s">
        <v>82</v>
      </c>
      <c r="D144" t="s">
        <v>80</v>
      </c>
      <c r="E144" t="s">
        <v>22</v>
      </c>
      <c r="F144" t="s">
        <v>25</v>
      </c>
      <c r="G144" t="s">
        <v>25</v>
      </c>
      <c r="H144" s="25">
        <v>0.71180555555555547</v>
      </c>
      <c r="I144" s="25">
        <v>0.71527777777777779</v>
      </c>
      <c r="J144" s="25">
        <v>0.77361111111111114</v>
      </c>
      <c r="K144" s="25">
        <v>0.77708333333333324</v>
      </c>
      <c r="L144" s="1">
        <f t="shared" si="8"/>
        <v>6.5277777777777768E-2</v>
      </c>
      <c r="M144" s="1">
        <f t="shared" si="9"/>
        <v>5.8333333333333348E-2</v>
      </c>
      <c r="N144" s="26">
        <v>4</v>
      </c>
      <c r="O144" t="s">
        <v>26</v>
      </c>
      <c r="Q144" t="s">
        <v>27</v>
      </c>
      <c r="S144" s="27">
        <v>2370</v>
      </c>
      <c r="T144" s="28">
        <f t="shared" si="10"/>
        <v>3713</v>
      </c>
      <c r="V144" t="str">
        <f t="shared" si="11"/>
        <v>OK</v>
      </c>
    </row>
    <row r="145" spans="1:22">
      <c r="A145" s="6">
        <v>45541</v>
      </c>
      <c r="B145" t="s">
        <v>48</v>
      </c>
      <c r="C145" t="s">
        <v>95</v>
      </c>
      <c r="D145" t="s">
        <v>50</v>
      </c>
      <c r="E145" t="s">
        <v>51</v>
      </c>
      <c r="F145" t="s">
        <v>25</v>
      </c>
      <c r="G145" t="s">
        <v>25</v>
      </c>
      <c r="H145" s="25">
        <v>0.49305555555555558</v>
      </c>
      <c r="I145" s="25">
        <v>0.49652777777777779</v>
      </c>
      <c r="J145" s="25">
        <v>0.51180555555555551</v>
      </c>
      <c r="K145" s="25">
        <v>0.51527777777777772</v>
      </c>
      <c r="L145" s="1">
        <f t="shared" si="8"/>
        <v>2.2222222222222143E-2</v>
      </c>
      <c r="M145" s="1">
        <f t="shared" si="9"/>
        <v>1.5277777777777724E-2</v>
      </c>
      <c r="N145" s="26">
        <v>3</v>
      </c>
      <c r="O145" t="s">
        <v>26</v>
      </c>
      <c r="P145" t="s">
        <v>96</v>
      </c>
      <c r="Q145" t="s">
        <v>32</v>
      </c>
      <c r="S145" s="27">
        <v>3060</v>
      </c>
      <c r="T145" s="28">
        <f t="shared" si="10"/>
        <v>1632</v>
      </c>
      <c r="V145" t="str">
        <f t="shared" si="11"/>
        <v>OK</v>
      </c>
    </row>
    <row r="146" spans="1:22">
      <c r="A146" s="6">
        <v>45541</v>
      </c>
      <c r="B146" t="s">
        <v>48</v>
      </c>
      <c r="C146" t="s">
        <v>95</v>
      </c>
      <c r="D146" t="s">
        <v>50</v>
      </c>
      <c r="E146" t="s">
        <v>51</v>
      </c>
      <c r="F146" t="s">
        <v>25</v>
      </c>
      <c r="G146" t="s">
        <v>117</v>
      </c>
      <c r="H146" s="25">
        <v>0.52083333333333337</v>
      </c>
      <c r="I146" s="25">
        <v>0.52430555555555558</v>
      </c>
      <c r="J146" s="25">
        <v>0.54513888888888884</v>
      </c>
      <c r="K146" s="25">
        <v>0.54861111111111116</v>
      </c>
      <c r="L146" s="1">
        <f t="shared" si="8"/>
        <v>2.777777777777779E-2</v>
      </c>
      <c r="M146" s="1">
        <f t="shared" si="9"/>
        <v>2.0833333333333259E-2</v>
      </c>
      <c r="N146" s="26">
        <v>1</v>
      </c>
      <c r="O146" t="s">
        <v>26</v>
      </c>
      <c r="Q146" t="s">
        <v>27</v>
      </c>
      <c r="R146" t="s">
        <v>118</v>
      </c>
      <c r="S146" s="27">
        <v>3060</v>
      </c>
      <c r="T146" s="28">
        <f t="shared" si="10"/>
        <v>2040</v>
      </c>
      <c r="V146" t="str">
        <f t="shared" si="11"/>
        <v>OK</v>
      </c>
    </row>
    <row r="147" spans="1:22">
      <c r="A147" s="6">
        <v>45541</v>
      </c>
      <c r="B147" t="s">
        <v>48</v>
      </c>
      <c r="C147" t="s">
        <v>95</v>
      </c>
      <c r="D147" t="s">
        <v>50</v>
      </c>
      <c r="E147" t="s">
        <v>51</v>
      </c>
      <c r="F147" t="s">
        <v>117</v>
      </c>
      <c r="G147" t="s">
        <v>25</v>
      </c>
      <c r="H147" s="25">
        <v>0.55208333333333337</v>
      </c>
      <c r="I147" s="25">
        <v>0.55555555555555558</v>
      </c>
      <c r="J147" s="25">
        <v>0.57499999999999996</v>
      </c>
      <c r="K147" s="25">
        <v>0.57847222222222228</v>
      </c>
      <c r="L147" s="1">
        <f t="shared" si="8"/>
        <v>2.6388888888888906E-2</v>
      </c>
      <c r="M147" s="1">
        <f t="shared" si="9"/>
        <v>1.9444444444444375E-2</v>
      </c>
      <c r="N147" s="26">
        <v>1</v>
      </c>
      <c r="O147" t="s">
        <v>26</v>
      </c>
      <c r="Q147" t="s">
        <v>27</v>
      </c>
      <c r="R147" t="s">
        <v>119</v>
      </c>
      <c r="S147" s="27">
        <v>3060</v>
      </c>
      <c r="T147" s="28">
        <f t="shared" si="10"/>
        <v>1938</v>
      </c>
      <c r="V147" t="str">
        <f t="shared" si="11"/>
        <v>OK</v>
      </c>
    </row>
    <row r="148" spans="1:22">
      <c r="A148" s="6">
        <v>45541</v>
      </c>
      <c r="B148" t="s">
        <v>48</v>
      </c>
      <c r="C148" t="s">
        <v>95</v>
      </c>
      <c r="D148" t="s">
        <v>50</v>
      </c>
      <c r="E148" t="s">
        <v>51</v>
      </c>
      <c r="F148" t="s">
        <v>25</v>
      </c>
      <c r="G148" t="s">
        <v>120</v>
      </c>
      <c r="H148" s="25">
        <v>0.59027777777777779</v>
      </c>
      <c r="I148" s="25">
        <v>0.59375</v>
      </c>
      <c r="J148" s="25">
        <v>0.61875000000000002</v>
      </c>
      <c r="K148" s="25">
        <v>0.62222222222222223</v>
      </c>
      <c r="L148" s="1">
        <f t="shared" si="8"/>
        <v>3.1944444444444442E-2</v>
      </c>
      <c r="M148" s="1">
        <f t="shared" si="9"/>
        <v>2.5000000000000022E-2</v>
      </c>
      <c r="N148" s="26">
        <v>1</v>
      </c>
      <c r="O148" t="s">
        <v>26</v>
      </c>
      <c r="Q148" t="s">
        <v>27</v>
      </c>
      <c r="R148" t="s">
        <v>121</v>
      </c>
      <c r="S148" s="27">
        <v>3060</v>
      </c>
      <c r="T148" s="28">
        <f t="shared" si="10"/>
        <v>2346</v>
      </c>
      <c r="V148" t="str">
        <f t="shared" si="11"/>
        <v>OK</v>
      </c>
    </row>
    <row r="149" spans="1:22">
      <c r="A149" s="6">
        <v>45541</v>
      </c>
      <c r="B149" t="s">
        <v>48</v>
      </c>
      <c r="C149" t="s">
        <v>95</v>
      </c>
      <c r="D149" t="s">
        <v>50</v>
      </c>
      <c r="E149" t="s">
        <v>51</v>
      </c>
      <c r="F149" t="s">
        <v>120</v>
      </c>
      <c r="G149" t="s">
        <v>25</v>
      </c>
      <c r="H149" s="25">
        <v>0.62847222222222221</v>
      </c>
      <c r="I149" s="25">
        <v>0.63194444444444442</v>
      </c>
      <c r="J149" s="25">
        <v>0.65347222222222223</v>
      </c>
      <c r="K149" s="25">
        <v>0.65694444444444444</v>
      </c>
      <c r="L149" s="1">
        <f t="shared" si="8"/>
        <v>2.8472222222222232E-2</v>
      </c>
      <c r="M149" s="1">
        <f t="shared" si="9"/>
        <v>2.1527777777777812E-2</v>
      </c>
      <c r="N149" s="26">
        <v>1</v>
      </c>
      <c r="O149" t="s">
        <v>26</v>
      </c>
      <c r="Q149" t="s">
        <v>27</v>
      </c>
      <c r="R149" t="s">
        <v>122</v>
      </c>
      <c r="S149" s="27">
        <v>3060</v>
      </c>
      <c r="T149" s="28">
        <f t="shared" si="10"/>
        <v>2091</v>
      </c>
      <c r="V149" t="str">
        <f t="shared" si="11"/>
        <v>OK</v>
      </c>
    </row>
    <row r="150" spans="1:22">
      <c r="A150" s="6">
        <v>45556</v>
      </c>
      <c r="B150" t="s">
        <v>22</v>
      </c>
      <c r="C150" t="s">
        <v>103</v>
      </c>
      <c r="D150" t="s">
        <v>24</v>
      </c>
      <c r="E150" t="s">
        <v>22</v>
      </c>
      <c r="F150" t="s">
        <v>25</v>
      </c>
      <c r="G150" t="s">
        <v>25</v>
      </c>
      <c r="H150" s="25">
        <v>0.3298611111111111</v>
      </c>
      <c r="I150" s="25">
        <v>0.33333333333333331</v>
      </c>
      <c r="J150" s="25">
        <v>0.41250000000000003</v>
      </c>
      <c r="K150" s="25">
        <v>0.41597222222222219</v>
      </c>
      <c r="L150" s="1">
        <f t="shared" si="8"/>
        <v>8.6111111111111083E-2</v>
      </c>
      <c r="M150" s="1">
        <f t="shared" si="9"/>
        <v>7.9166666666666718E-2</v>
      </c>
      <c r="N150" s="26">
        <v>3</v>
      </c>
      <c r="O150" t="s">
        <v>26</v>
      </c>
      <c r="Q150" t="s">
        <v>27</v>
      </c>
      <c r="S150" s="27">
        <v>2250</v>
      </c>
      <c r="T150" s="28">
        <f t="shared" si="10"/>
        <v>4650</v>
      </c>
      <c r="V150" t="str">
        <f t="shared" si="11"/>
        <v>OK</v>
      </c>
    </row>
    <row r="151" spans="1:22">
      <c r="A151" s="6">
        <v>45560</v>
      </c>
      <c r="B151" t="s">
        <v>48</v>
      </c>
      <c r="C151" t="s">
        <v>95</v>
      </c>
      <c r="D151" t="s">
        <v>50</v>
      </c>
      <c r="E151" t="s">
        <v>51</v>
      </c>
      <c r="F151" t="s">
        <v>25</v>
      </c>
      <c r="G151" t="s">
        <v>25</v>
      </c>
      <c r="H151" s="25">
        <v>0.58680555555555558</v>
      </c>
      <c r="I151" s="25">
        <v>0.59027777777777779</v>
      </c>
      <c r="J151" s="25">
        <v>0.63888888888888884</v>
      </c>
      <c r="K151" s="25">
        <v>0.64236111111111116</v>
      </c>
      <c r="L151" s="1">
        <f t="shared" si="8"/>
        <v>5.555555555555558E-2</v>
      </c>
      <c r="M151" s="1">
        <f t="shared" si="9"/>
        <v>4.8611111111111049E-2</v>
      </c>
      <c r="N151" s="26">
        <v>5</v>
      </c>
      <c r="O151" t="s">
        <v>26</v>
      </c>
      <c r="P151" t="s">
        <v>31</v>
      </c>
      <c r="Q151" t="s">
        <v>32</v>
      </c>
      <c r="R151" t="s">
        <v>123</v>
      </c>
      <c r="S151" s="27">
        <v>3060</v>
      </c>
      <c r="T151" s="28">
        <f t="shared" si="10"/>
        <v>4080</v>
      </c>
      <c r="V151" t="str">
        <f t="shared" si="11"/>
        <v>OK</v>
      </c>
    </row>
    <row r="152" spans="1:22">
      <c r="A152" s="6">
        <v>45738</v>
      </c>
      <c r="B152" t="s">
        <v>22</v>
      </c>
      <c r="C152" t="s">
        <v>124</v>
      </c>
      <c r="D152" t="s">
        <v>24</v>
      </c>
      <c r="E152" t="s">
        <v>22</v>
      </c>
      <c r="F152" t="s">
        <v>25</v>
      </c>
      <c r="G152" t="s">
        <v>25</v>
      </c>
      <c r="H152" s="25">
        <v>0.51388888888888895</v>
      </c>
      <c r="I152" s="25">
        <v>0.51736111111111105</v>
      </c>
      <c r="J152" s="25">
        <v>0.52569444444444446</v>
      </c>
      <c r="K152" s="25">
        <v>0.52916666666666667</v>
      </c>
      <c r="L152" s="1">
        <f t="shared" si="8"/>
        <v>1.5277777777777724E-2</v>
      </c>
      <c r="M152" s="1">
        <f t="shared" si="9"/>
        <v>8.3333333333334147E-3</v>
      </c>
      <c r="N152" s="26">
        <v>3</v>
      </c>
      <c r="O152" t="s">
        <v>26</v>
      </c>
      <c r="P152" t="s">
        <v>125</v>
      </c>
      <c r="Q152" t="s">
        <v>32</v>
      </c>
      <c r="R152" t="s">
        <v>126</v>
      </c>
      <c r="S152" s="27">
        <v>2250</v>
      </c>
      <c r="T152" s="28">
        <f t="shared" si="10"/>
        <v>825</v>
      </c>
      <c r="V152" t="str">
        <f t="shared" si="11"/>
        <v>OK</v>
      </c>
    </row>
    <row r="153" spans="1:22">
      <c r="A153" s="6">
        <v>45743</v>
      </c>
      <c r="B153" t="s">
        <v>22</v>
      </c>
      <c r="C153" t="s">
        <v>124</v>
      </c>
      <c r="D153" t="s">
        <v>24</v>
      </c>
      <c r="E153" t="s">
        <v>22</v>
      </c>
      <c r="F153" t="s">
        <v>25</v>
      </c>
      <c r="G153" t="s">
        <v>25</v>
      </c>
      <c r="H153" s="25">
        <v>0.64583333333333337</v>
      </c>
      <c r="I153" s="25">
        <v>0.64930555555555558</v>
      </c>
      <c r="J153" s="25">
        <v>0.71597222222222223</v>
      </c>
      <c r="K153" s="25">
        <v>0.71944444444444444</v>
      </c>
      <c r="L153" s="1">
        <f t="shared" si="8"/>
        <v>7.3611111111111072E-2</v>
      </c>
      <c r="M153" s="1">
        <f t="shared" si="9"/>
        <v>6.6666666666666652E-2</v>
      </c>
      <c r="N153" s="26">
        <v>6</v>
      </c>
      <c r="O153" t="s">
        <v>26</v>
      </c>
      <c r="Q153" t="s">
        <v>27</v>
      </c>
      <c r="S153" s="27">
        <v>2250</v>
      </c>
      <c r="T153" s="28">
        <f t="shared" si="10"/>
        <v>3975</v>
      </c>
      <c r="V153" t="str">
        <f t="shared" si="11"/>
        <v>OK</v>
      </c>
    </row>
    <row r="154" spans="1:22">
      <c r="A154" s="6">
        <v>45757</v>
      </c>
      <c r="B154" t="s">
        <v>22</v>
      </c>
      <c r="C154" t="s">
        <v>124</v>
      </c>
      <c r="D154" t="s">
        <v>24</v>
      </c>
      <c r="E154" t="s">
        <v>22</v>
      </c>
      <c r="F154" t="s">
        <v>25</v>
      </c>
      <c r="G154" t="s">
        <v>127</v>
      </c>
      <c r="H154" s="25">
        <v>0.24652777777777779</v>
      </c>
      <c r="I154" s="25">
        <v>0.25</v>
      </c>
      <c r="J154" s="25">
        <v>0.35416666666666669</v>
      </c>
      <c r="K154" s="25">
        <v>0.3576388888888889</v>
      </c>
      <c r="L154" s="1">
        <f t="shared" si="8"/>
        <v>0.1111111111111111</v>
      </c>
      <c r="M154" s="1">
        <f t="shared" si="9"/>
        <v>0.10416666666666669</v>
      </c>
      <c r="N154" s="26">
        <v>1</v>
      </c>
      <c r="O154" t="s">
        <v>26</v>
      </c>
      <c r="Q154" t="s">
        <v>27</v>
      </c>
      <c r="R154" t="s">
        <v>128</v>
      </c>
      <c r="S154" s="27">
        <v>2250</v>
      </c>
      <c r="T154" s="28">
        <f t="shared" si="10"/>
        <v>6000</v>
      </c>
      <c r="V154" t="str">
        <f t="shared" si="11"/>
        <v>OK</v>
      </c>
    </row>
    <row r="155" spans="1:22">
      <c r="A155" s="6">
        <v>45757</v>
      </c>
      <c r="B155" t="s">
        <v>22</v>
      </c>
      <c r="C155" t="s">
        <v>124</v>
      </c>
      <c r="D155" t="s">
        <v>24</v>
      </c>
      <c r="E155" t="s">
        <v>22</v>
      </c>
      <c r="F155" t="s">
        <v>127</v>
      </c>
      <c r="G155" t="s">
        <v>129</v>
      </c>
      <c r="H155" s="25">
        <v>0.54861111111111105</v>
      </c>
      <c r="I155" s="25">
        <v>0.55208333333333337</v>
      </c>
      <c r="J155" s="25">
        <v>0.61041666666666672</v>
      </c>
      <c r="K155" s="25">
        <v>0.61388888888888882</v>
      </c>
      <c r="L155" s="1">
        <f t="shared" si="8"/>
        <v>6.5277777777777768E-2</v>
      </c>
      <c r="M155" s="1">
        <f t="shared" si="9"/>
        <v>5.8333333333333348E-2</v>
      </c>
      <c r="N155" s="26">
        <v>1</v>
      </c>
      <c r="O155" t="s">
        <v>26</v>
      </c>
      <c r="Q155" t="s">
        <v>27</v>
      </c>
      <c r="R155" t="s">
        <v>130</v>
      </c>
      <c r="S155" s="27">
        <v>2250</v>
      </c>
      <c r="T155" s="28">
        <f t="shared" si="10"/>
        <v>3525</v>
      </c>
      <c r="V155" t="str">
        <f t="shared" si="11"/>
        <v>OK</v>
      </c>
    </row>
    <row r="156" spans="1:22">
      <c r="A156" s="6">
        <v>45758</v>
      </c>
      <c r="B156" t="s">
        <v>22</v>
      </c>
      <c r="C156" t="s">
        <v>124</v>
      </c>
      <c r="D156" t="s">
        <v>24</v>
      </c>
      <c r="E156" t="s">
        <v>22</v>
      </c>
      <c r="F156" t="s">
        <v>129</v>
      </c>
      <c r="G156" t="s">
        <v>129</v>
      </c>
      <c r="H156" s="25">
        <v>0.62847222222222221</v>
      </c>
      <c r="I156" s="25">
        <v>0.63194444444444442</v>
      </c>
      <c r="J156" s="25">
        <v>0.69444444444444453</v>
      </c>
      <c r="K156" s="25">
        <v>0.69791666666666663</v>
      </c>
      <c r="L156" s="1">
        <f t="shared" si="8"/>
        <v>6.944444444444442E-2</v>
      </c>
      <c r="M156" s="1">
        <f t="shared" si="9"/>
        <v>6.2500000000000111E-2</v>
      </c>
      <c r="N156" s="26">
        <v>1</v>
      </c>
      <c r="O156" t="s">
        <v>26</v>
      </c>
      <c r="Q156" t="s">
        <v>27</v>
      </c>
      <c r="R156" t="s">
        <v>131</v>
      </c>
      <c r="S156" s="27">
        <v>2250</v>
      </c>
      <c r="T156" s="28">
        <f t="shared" si="10"/>
        <v>3750</v>
      </c>
      <c r="V156" t="str">
        <f t="shared" si="11"/>
        <v>OK</v>
      </c>
    </row>
    <row r="157" spans="1:22">
      <c r="A157" s="6">
        <v>45759</v>
      </c>
      <c r="B157" t="s">
        <v>22</v>
      </c>
      <c r="C157" t="s">
        <v>124</v>
      </c>
      <c r="D157" t="s">
        <v>24</v>
      </c>
      <c r="E157" t="s">
        <v>22</v>
      </c>
      <c r="F157" t="s">
        <v>129</v>
      </c>
      <c r="G157" t="s">
        <v>63</v>
      </c>
      <c r="H157" s="25">
        <v>0.37847222222222227</v>
      </c>
      <c r="I157" s="25">
        <v>0.38194444444444442</v>
      </c>
      <c r="J157" s="25">
        <v>0.4236111111111111</v>
      </c>
      <c r="K157" s="25">
        <v>0.42708333333333331</v>
      </c>
      <c r="L157" s="1">
        <f t="shared" si="8"/>
        <v>4.8611111111111049E-2</v>
      </c>
      <c r="M157" s="1">
        <f t="shared" si="9"/>
        <v>4.1666666666666685E-2</v>
      </c>
      <c r="N157" s="26">
        <v>1</v>
      </c>
      <c r="O157" t="s">
        <v>26</v>
      </c>
      <c r="Q157" t="s">
        <v>27</v>
      </c>
      <c r="R157" t="s">
        <v>132</v>
      </c>
      <c r="S157" s="27">
        <v>2250</v>
      </c>
      <c r="T157" s="28">
        <f t="shared" si="10"/>
        <v>2625</v>
      </c>
      <c r="V157" t="str">
        <f t="shared" si="11"/>
        <v>OK</v>
      </c>
    </row>
    <row r="158" spans="1:22">
      <c r="A158" s="6">
        <v>45759</v>
      </c>
      <c r="B158" t="s">
        <v>22</v>
      </c>
      <c r="C158" t="s">
        <v>124</v>
      </c>
      <c r="D158" t="s">
        <v>24</v>
      </c>
      <c r="E158" t="s">
        <v>22</v>
      </c>
      <c r="F158" t="s">
        <v>63</v>
      </c>
      <c r="G158" t="s">
        <v>25</v>
      </c>
      <c r="H158" s="25">
        <v>0.47638888888888892</v>
      </c>
      <c r="I158" s="25">
        <v>0.47986111111111113</v>
      </c>
      <c r="J158" s="25">
        <v>0.55902777777777779</v>
      </c>
      <c r="K158" s="25">
        <v>0.5625</v>
      </c>
      <c r="L158" s="1">
        <f t="shared" si="8"/>
        <v>8.6111111111111083E-2</v>
      </c>
      <c r="M158" s="1">
        <f t="shared" si="9"/>
        <v>7.9166666666666663E-2</v>
      </c>
      <c r="N158" s="26">
        <v>1</v>
      </c>
      <c r="O158" t="s">
        <v>26</v>
      </c>
      <c r="Q158" t="s">
        <v>27</v>
      </c>
      <c r="R158" t="s">
        <v>65</v>
      </c>
      <c r="S158" s="27">
        <v>2250</v>
      </c>
      <c r="T158" s="28">
        <f t="shared" si="10"/>
        <v>4650</v>
      </c>
      <c r="V158" t="str">
        <f t="shared" si="11"/>
        <v>OK</v>
      </c>
    </row>
    <row r="159" spans="1:22">
      <c r="A159" s="6">
        <v>45773</v>
      </c>
      <c r="B159" t="s">
        <v>22</v>
      </c>
      <c r="C159" t="s">
        <v>124</v>
      </c>
      <c r="D159" t="s">
        <v>24</v>
      </c>
      <c r="E159" t="s">
        <v>22</v>
      </c>
      <c r="F159" t="s">
        <v>25</v>
      </c>
      <c r="G159" t="s">
        <v>117</v>
      </c>
      <c r="H159" s="25">
        <v>0.35069444444444442</v>
      </c>
      <c r="I159" s="25">
        <v>0.35416666666666669</v>
      </c>
      <c r="J159" s="25">
        <v>0.375</v>
      </c>
      <c r="K159" s="25">
        <v>0.37847222222222227</v>
      </c>
      <c r="L159" s="1">
        <f t="shared" si="8"/>
        <v>2.7777777777777846E-2</v>
      </c>
      <c r="M159" s="1">
        <f t="shared" si="9"/>
        <v>2.0833333333333315E-2</v>
      </c>
      <c r="N159" s="26">
        <v>1</v>
      </c>
      <c r="O159" t="s">
        <v>26</v>
      </c>
      <c r="Q159" t="s">
        <v>27</v>
      </c>
      <c r="R159" t="s">
        <v>118</v>
      </c>
      <c r="S159" s="27">
        <v>2250</v>
      </c>
      <c r="T159" s="28">
        <f t="shared" si="10"/>
        <v>1500</v>
      </c>
      <c r="V159" t="str">
        <f t="shared" si="11"/>
        <v>OK</v>
      </c>
    </row>
    <row r="160" spans="1:22">
      <c r="A160" s="6">
        <v>45773</v>
      </c>
      <c r="B160" t="s">
        <v>22</v>
      </c>
      <c r="C160" t="s">
        <v>124</v>
      </c>
      <c r="D160" t="s">
        <v>24</v>
      </c>
      <c r="E160" t="s">
        <v>22</v>
      </c>
      <c r="F160" t="s">
        <v>117</v>
      </c>
      <c r="G160" t="s">
        <v>25</v>
      </c>
      <c r="H160" s="25">
        <v>0.62152777777777779</v>
      </c>
      <c r="I160" s="25">
        <v>0.625</v>
      </c>
      <c r="J160" s="25">
        <v>0.64583333333333337</v>
      </c>
      <c r="K160" s="25">
        <v>0.64930555555555558</v>
      </c>
      <c r="L160" s="1">
        <f t="shared" si="8"/>
        <v>2.777777777777779E-2</v>
      </c>
      <c r="M160" s="1">
        <f t="shared" si="9"/>
        <v>2.083333333333337E-2</v>
      </c>
      <c r="N160" s="26">
        <v>1</v>
      </c>
      <c r="O160" t="s">
        <v>26</v>
      </c>
      <c r="Q160" t="s">
        <v>27</v>
      </c>
      <c r="R160" t="s">
        <v>119</v>
      </c>
      <c r="S160" s="27">
        <v>2250</v>
      </c>
      <c r="T160" s="28">
        <f t="shared" si="10"/>
        <v>1500</v>
      </c>
      <c r="V160" t="str">
        <f t="shared" si="11"/>
        <v>OK</v>
      </c>
    </row>
    <row r="161" spans="1:22">
      <c r="A161" s="6">
        <v>45794</v>
      </c>
      <c r="B161" t="s">
        <v>22</v>
      </c>
      <c r="C161" t="s">
        <v>82</v>
      </c>
      <c r="D161" t="s">
        <v>80</v>
      </c>
      <c r="E161" t="s">
        <v>22</v>
      </c>
      <c r="F161" t="s">
        <v>25</v>
      </c>
      <c r="G161" t="s">
        <v>25</v>
      </c>
      <c r="H161" s="25">
        <v>0.22222222222222221</v>
      </c>
      <c r="I161" s="25">
        <v>0.22569444444444445</v>
      </c>
      <c r="J161" s="25">
        <v>0.28402777777777777</v>
      </c>
      <c r="K161" s="25">
        <v>0.28750000000000003</v>
      </c>
      <c r="L161" s="1">
        <f t="shared" si="8"/>
        <v>6.5277777777777823E-2</v>
      </c>
      <c r="M161" s="1">
        <f t="shared" si="9"/>
        <v>5.833333333333332E-2</v>
      </c>
      <c r="N161" s="26">
        <v>5</v>
      </c>
      <c r="O161" t="s">
        <v>26</v>
      </c>
      <c r="Q161" t="s">
        <v>27</v>
      </c>
      <c r="R161" t="s">
        <v>83</v>
      </c>
      <c r="S161" s="27">
        <v>2370</v>
      </c>
      <c r="T161" s="28">
        <f t="shared" si="10"/>
        <v>3713</v>
      </c>
      <c r="V161" t="str">
        <f t="shared" si="11"/>
        <v>OK</v>
      </c>
    </row>
    <row r="162" spans="1:22">
      <c r="A162" s="6">
        <v>45825</v>
      </c>
      <c r="B162" t="s">
        <v>22</v>
      </c>
      <c r="C162" t="s">
        <v>82</v>
      </c>
      <c r="D162" t="s">
        <v>80</v>
      </c>
      <c r="E162" t="s">
        <v>22</v>
      </c>
      <c r="F162" t="s">
        <v>25</v>
      </c>
      <c r="G162" t="s">
        <v>133</v>
      </c>
      <c r="H162" s="25">
        <v>0.59375</v>
      </c>
      <c r="I162" s="25">
        <v>0.59722222222222221</v>
      </c>
      <c r="J162" s="25">
        <v>0.65555555555555556</v>
      </c>
      <c r="K162" s="25">
        <v>0.65902777777777777</v>
      </c>
      <c r="L162" s="1">
        <f t="shared" si="8"/>
        <v>6.5277777777777768E-2</v>
      </c>
      <c r="M162" s="1">
        <f t="shared" si="9"/>
        <v>5.8333333333333348E-2</v>
      </c>
      <c r="N162" s="26">
        <v>1</v>
      </c>
      <c r="O162" t="s">
        <v>26</v>
      </c>
      <c r="Q162" t="s">
        <v>27</v>
      </c>
      <c r="R162" t="s">
        <v>134</v>
      </c>
      <c r="S162" s="27">
        <v>2370</v>
      </c>
      <c r="T162" s="28">
        <f t="shared" si="10"/>
        <v>3713</v>
      </c>
      <c r="V162" t="str">
        <f t="shared" si="11"/>
        <v>OK</v>
      </c>
    </row>
    <row r="163" spans="1:22">
      <c r="A163" s="6">
        <v>45825</v>
      </c>
      <c r="B163" t="s">
        <v>22</v>
      </c>
      <c r="C163" t="s">
        <v>82</v>
      </c>
      <c r="D163" t="s">
        <v>80</v>
      </c>
      <c r="E163" t="s">
        <v>22</v>
      </c>
      <c r="F163" t="s">
        <v>133</v>
      </c>
      <c r="G163" t="s">
        <v>25</v>
      </c>
      <c r="H163" s="25">
        <v>0.71180555555555547</v>
      </c>
      <c r="I163" s="25">
        <v>0.71527777777777779</v>
      </c>
      <c r="J163" s="25">
        <v>0.76527777777777783</v>
      </c>
      <c r="K163" s="25">
        <v>0.76874999999999993</v>
      </c>
      <c r="L163" s="1">
        <f t="shared" si="8"/>
        <v>5.6944444444444464E-2</v>
      </c>
      <c r="M163" s="1">
        <f t="shared" si="9"/>
        <v>5.0000000000000044E-2</v>
      </c>
      <c r="N163" s="26">
        <v>1</v>
      </c>
      <c r="O163" t="s">
        <v>26</v>
      </c>
      <c r="Q163" t="s">
        <v>27</v>
      </c>
      <c r="R163" t="s">
        <v>135</v>
      </c>
      <c r="S163" s="27">
        <v>2370</v>
      </c>
      <c r="T163" s="28">
        <f t="shared" si="10"/>
        <v>3239</v>
      </c>
      <c r="V163" t="str">
        <f t="shared" si="11"/>
        <v>OK</v>
      </c>
    </row>
    <row r="164" spans="1:22">
      <c r="A164" s="6">
        <v>45832</v>
      </c>
      <c r="B164" t="s">
        <v>22</v>
      </c>
      <c r="C164" t="s">
        <v>82</v>
      </c>
      <c r="D164" t="s">
        <v>80</v>
      </c>
      <c r="E164" t="s">
        <v>22</v>
      </c>
      <c r="F164" t="s">
        <v>25</v>
      </c>
      <c r="G164" t="s">
        <v>25</v>
      </c>
      <c r="H164" s="25">
        <v>0.58680555555555558</v>
      </c>
      <c r="I164" s="25">
        <v>0.59027777777777779</v>
      </c>
      <c r="J164" s="25">
        <v>0.65694444444444444</v>
      </c>
      <c r="K164" s="25">
        <v>0.66041666666666665</v>
      </c>
      <c r="L164" s="1">
        <f t="shared" si="8"/>
        <v>7.3611111111111072E-2</v>
      </c>
      <c r="M164" s="1">
        <f t="shared" si="9"/>
        <v>6.6666666666666652E-2</v>
      </c>
      <c r="N164" s="26">
        <v>3</v>
      </c>
      <c r="O164" t="s">
        <v>26</v>
      </c>
      <c r="Q164" t="s">
        <v>27</v>
      </c>
      <c r="R164" t="s">
        <v>136</v>
      </c>
      <c r="S164" s="27">
        <v>2370</v>
      </c>
      <c r="T164" s="28">
        <f t="shared" si="10"/>
        <v>4187</v>
      </c>
      <c r="V164" t="str">
        <f t="shared" si="11"/>
        <v>OK</v>
      </c>
    </row>
    <row r="165" spans="1:22">
      <c r="A165" s="6">
        <v>45834</v>
      </c>
      <c r="B165" t="s">
        <v>22</v>
      </c>
      <c r="C165" t="s">
        <v>82</v>
      </c>
      <c r="D165" t="s">
        <v>80</v>
      </c>
      <c r="E165" t="s">
        <v>22</v>
      </c>
      <c r="F165" t="s">
        <v>25</v>
      </c>
      <c r="G165" t="s">
        <v>90</v>
      </c>
      <c r="H165" s="25">
        <v>0.25</v>
      </c>
      <c r="I165" s="25">
        <v>0.25347222222222221</v>
      </c>
      <c r="J165" s="25">
        <v>0.35347222222222219</v>
      </c>
      <c r="K165" s="25">
        <v>0.35694444444444445</v>
      </c>
      <c r="L165" s="1">
        <f t="shared" si="8"/>
        <v>0.10694444444444445</v>
      </c>
      <c r="M165" s="1">
        <f t="shared" si="9"/>
        <v>9.9999999999999978E-2</v>
      </c>
      <c r="N165" s="26">
        <v>1</v>
      </c>
      <c r="O165" t="s">
        <v>26</v>
      </c>
      <c r="Q165" t="s">
        <v>27</v>
      </c>
      <c r="S165" s="27">
        <v>2370</v>
      </c>
      <c r="T165" s="28">
        <f t="shared" si="10"/>
        <v>6083</v>
      </c>
      <c r="V165" t="str">
        <f t="shared" si="11"/>
        <v>OK</v>
      </c>
    </row>
    <row r="166" spans="1:22">
      <c r="A166" s="6">
        <v>45834</v>
      </c>
      <c r="B166" t="s">
        <v>22</v>
      </c>
      <c r="C166" t="s">
        <v>82</v>
      </c>
      <c r="D166" t="s">
        <v>80</v>
      </c>
      <c r="E166" t="s">
        <v>22</v>
      </c>
      <c r="F166" t="s">
        <v>90</v>
      </c>
      <c r="G166" t="s">
        <v>137</v>
      </c>
      <c r="H166" s="25">
        <v>0.38125000000000003</v>
      </c>
      <c r="I166" s="25">
        <v>0.38472222222222219</v>
      </c>
      <c r="J166" s="25">
        <v>0.47222222222222227</v>
      </c>
      <c r="K166" s="25">
        <v>0.47569444444444442</v>
      </c>
      <c r="L166" s="1">
        <f t="shared" si="8"/>
        <v>9.4444444444444386E-2</v>
      </c>
      <c r="M166" s="1">
        <f t="shared" si="9"/>
        <v>8.7500000000000078E-2</v>
      </c>
      <c r="N166" s="26">
        <v>1</v>
      </c>
      <c r="O166" t="s">
        <v>26</v>
      </c>
      <c r="Q166" t="s">
        <v>27</v>
      </c>
      <c r="S166" s="27">
        <v>2370</v>
      </c>
      <c r="T166" s="28">
        <f t="shared" si="10"/>
        <v>5372</v>
      </c>
      <c r="V166" t="str">
        <f t="shared" si="11"/>
        <v>OK</v>
      </c>
    </row>
    <row r="167" spans="1:22">
      <c r="A167" s="6">
        <v>45836</v>
      </c>
      <c r="B167" t="s">
        <v>22</v>
      </c>
      <c r="C167" t="s">
        <v>82</v>
      </c>
      <c r="D167" t="s">
        <v>80</v>
      </c>
      <c r="E167" t="s">
        <v>22</v>
      </c>
      <c r="F167" t="s">
        <v>137</v>
      </c>
      <c r="G167" t="s">
        <v>137</v>
      </c>
      <c r="H167" s="25">
        <v>0.76736111111111116</v>
      </c>
      <c r="I167" s="25">
        <v>0.77083333333333337</v>
      </c>
      <c r="J167" s="25">
        <v>0.79166666666666663</v>
      </c>
      <c r="K167" s="25">
        <v>0.79513888888888884</v>
      </c>
      <c r="L167" s="1">
        <f t="shared" si="8"/>
        <v>2.7777777777777679E-2</v>
      </c>
      <c r="M167" s="1">
        <f t="shared" si="9"/>
        <v>2.0833333333333259E-2</v>
      </c>
      <c r="N167" s="26">
        <v>1</v>
      </c>
      <c r="O167" t="s">
        <v>26</v>
      </c>
      <c r="Q167" t="s">
        <v>27</v>
      </c>
      <c r="S167" s="27">
        <v>2370</v>
      </c>
      <c r="T167" s="28">
        <f t="shared" si="10"/>
        <v>1580</v>
      </c>
      <c r="V167" t="str">
        <f t="shared" si="11"/>
        <v>OK</v>
      </c>
    </row>
    <row r="168" spans="1:22">
      <c r="A168" s="6">
        <v>45837</v>
      </c>
      <c r="B168" t="s">
        <v>22</v>
      </c>
      <c r="C168" t="s">
        <v>82</v>
      </c>
      <c r="D168" t="s">
        <v>80</v>
      </c>
      <c r="E168" t="s">
        <v>22</v>
      </c>
      <c r="F168" t="s">
        <v>137</v>
      </c>
      <c r="G168" t="s">
        <v>90</v>
      </c>
      <c r="H168" s="25">
        <v>0.4201388888888889</v>
      </c>
      <c r="I168" s="25">
        <v>0.4236111111111111</v>
      </c>
      <c r="J168" s="25">
        <v>0.52777777777777779</v>
      </c>
      <c r="K168" s="25">
        <v>0.53125</v>
      </c>
      <c r="L168" s="1">
        <f t="shared" si="8"/>
        <v>0.1111111111111111</v>
      </c>
      <c r="M168" s="1">
        <f t="shared" si="9"/>
        <v>0.10416666666666669</v>
      </c>
      <c r="N168" s="26">
        <v>1</v>
      </c>
      <c r="O168" t="s">
        <v>26</v>
      </c>
      <c r="Q168" t="s">
        <v>27</v>
      </c>
      <c r="S168" s="27">
        <v>2370</v>
      </c>
      <c r="T168" s="28">
        <f t="shared" si="10"/>
        <v>6320</v>
      </c>
      <c r="V168" t="str">
        <f t="shared" si="11"/>
        <v>OK</v>
      </c>
    </row>
    <row r="169" spans="1:22">
      <c r="A169" s="6">
        <v>45837</v>
      </c>
      <c r="B169" t="s">
        <v>22</v>
      </c>
      <c r="C169" t="s">
        <v>82</v>
      </c>
      <c r="D169" t="s">
        <v>80</v>
      </c>
      <c r="E169" t="s">
        <v>22</v>
      </c>
      <c r="F169" t="s">
        <v>90</v>
      </c>
      <c r="G169" t="s">
        <v>137</v>
      </c>
      <c r="H169" s="25">
        <v>0.53680555555555554</v>
      </c>
      <c r="I169" s="25">
        <v>0.54027777777777775</v>
      </c>
      <c r="J169" s="25">
        <v>0.64861111111111114</v>
      </c>
      <c r="K169" s="25">
        <v>0.65208333333333335</v>
      </c>
      <c r="L169" s="1">
        <f t="shared" si="8"/>
        <v>0.11527777777777781</v>
      </c>
      <c r="M169" s="1">
        <f t="shared" si="9"/>
        <v>0.10833333333333339</v>
      </c>
      <c r="N169" s="26">
        <v>1</v>
      </c>
      <c r="O169" t="s">
        <v>26</v>
      </c>
      <c r="Q169" t="s">
        <v>27</v>
      </c>
      <c r="S169" s="27">
        <v>2370</v>
      </c>
      <c r="T169" s="28">
        <f t="shared" si="10"/>
        <v>6557</v>
      </c>
      <c r="V169" t="str">
        <f t="shared" si="11"/>
        <v>OK</v>
      </c>
    </row>
    <row r="170" spans="1:22">
      <c r="A170" s="6">
        <v>45890</v>
      </c>
      <c r="B170" t="s">
        <v>22</v>
      </c>
      <c r="C170" t="s">
        <v>124</v>
      </c>
      <c r="D170" t="s">
        <v>24</v>
      </c>
      <c r="E170" t="s">
        <v>22</v>
      </c>
      <c r="F170" t="s">
        <v>25</v>
      </c>
      <c r="G170" t="s">
        <v>25</v>
      </c>
      <c r="H170" s="25">
        <v>0.71180555555555547</v>
      </c>
      <c r="I170" s="25">
        <v>0.71527777777777779</v>
      </c>
      <c r="J170" s="25">
        <v>0.78194444444444444</v>
      </c>
      <c r="K170" s="25">
        <v>0.78541666666666676</v>
      </c>
      <c r="L170" s="1">
        <f t="shared" si="8"/>
        <v>7.3611111111111294E-2</v>
      </c>
      <c r="M170" s="1">
        <f t="shared" si="9"/>
        <v>6.6666666666666652E-2</v>
      </c>
      <c r="N170" s="26">
        <v>6</v>
      </c>
      <c r="O170" t="s">
        <v>26</v>
      </c>
      <c r="Q170" t="s">
        <v>27</v>
      </c>
      <c r="S170" s="27">
        <v>2250</v>
      </c>
      <c r="T170" s="28">
        <f t="shared" si="10"/>
        <v>3975</v>
      </c>
      <c r="V170" t="str">
        <f t="shared" si="11"/>
        <v>OK</v>
      </c>
    </row>
    <row r="171" spans="1:22">
      <c r="A171" s="6">
        <v>45904</v>
      </c>
      <c r="B171" t="s">
        <v>22</v>
      </c>
      <c r="C171" t="s">
        <v>138</v>
      </c>
      <c r="D171" t="s">
        <v>24</v>
      </c>
      <c r="E171" t="s">
        <v>22</v>
      </c>
      <c r="F171" t="s">
        <v>139</v>
      </c>
      <c r="G171" t="s">
        <v>140</v>
      </c>
      <c r="H171" s="25">
        <v>0.64722222222222225</v>
      </c>
      <c r="I171" s="25">
        <v>0.65069444444444446</v>
      </c>
      <c r="J171" s="25">
        <v>0.72569444444444442</v>
      </c>
      <c r="K171" s="25">
        <v>0.72916666666666663</v>
      </c>
      <c r="L171" s="1">
        <f t="shared" si="8"/>
        <v>8.1944444444444375E-2</v>
      </c>
      <c r="M171" s="1">
        <f t="shared" si="9"/>
        <v>7.4999999999999956E-2</v>
      </c>
      <c r="N171" s="26">
        <v>1</v>
      </c>
      <c r="O171" t="s">
        <v>141</v>
      </c>
      <c r="Q171" t="s">
        <v>108</v>
      </c>
      <c r="S171" s="27">
        <v>4000</v>
      </c>
      <c r="T171" s="28">
        <f t="shared" si="10"/>
        <v>7866.67</v>
      </c>
      <c r="V171" t="str">
        <f t="shared" si="11"/>
        <v>OK</v>
      </c>
    </row>
    <row r="172" spans="1:22">
      <c r="A172" s="6">
        <v>45906</v>
      </c>
      <c r="B172" t="s">
        <v>22</v>
      </c>
      <c r="C172" t="s">
        <v>138</v>
      </c>
      <c r="D172" t="s">
        <v>24</v>
      </c>
      <c r="E172" t="s">
        <v>22</v>
      </c>
      <c r="F172" t="s">
        <v>140</v>
      </c>
      <c r="G172" t="s">
        <v>142</v>
      </c>
      <c r="H172" s="25">
        <v>0.61111111111111116</v>
      </c>
      <c r="I172" s="25">
        <v>0.61458333333333337</v>
      </c>
      <c r="J172" s="25">
        <v>0.63194444444444442</v>
      </c>
      <c r="K172" s="25">
        <v>0.63541666666666663</v>
      </c>
      <c r="L172" s="1">
        <f t="shared" si="8"/>
        <v>2.4305555555555469E-2</v>
      </c>
      <c r="M172" s="1">
        <f t="shared" si="9"/>
        <v>1.7361111111111049E-2</v>
      </c>
      <c r="N172" s="26">
        <v>1</v>
      </c>
      <c r="O172" t="s">
        <v>141</v>
      </c>
      <c r="Q172" t="s">
        <v>108</v>
      </c>
      <c r="S172" s="27">
        <v>4000</v>
      </c>
      <c r="T172" s="28">
        <f t="shared" si="10"/>
        <v>2333.33</v>
      </c>
      <c r="V172" t="str">
        <f t="shared" si="11"/>
        <v>OK</v>
      </c>
    </row>
    <row r="173" spans="1:22">
      <c r="A173" s="6">
        <v>45906</v>
      </c>
      <c r="B173" t="s">
        <v>22</v>
      </c>
      <c r="C173" t="s">
        <v>138</v>
      </c>
      <c r="D173" t="s">
        <v>24</v>
      </c>
      <c r="E173" t="s">
        <v>22</v>
      </c>
      <c r="F173" t="s">
        <v>142</v>
      </c>
      <c r="G173" t="s">
        <v>140</v>
      </c>
      <c r="H173" s="25">
        <v>0.6875</v>
      </c>
      <c r="I173" s="25">
        <v>0.69097222222222221</v>
      </c>
      <c r="J173" s="25">
        <v>0.71527777777777779</v>
      </c>
      <c r="K173" s="25">
        <v>0.71875</v>
      </c>
      <c r="L173" s="1">
        <f t="shared" si="8"/>
        <v>3.125E-2</v>
      </c>
      <c r="M173" s="1">
        <f t="shared" si="9"/>
        <v>2.430555555555558E-2</v>
      </c>
      <c r="N173" s="26">
        <v>1</v>
      </c>
      <c r="O173" t="s">
        <v>141</v>
      </c>
      <c r="Q173" t="s">
        <v>108</v>
      </c>
      <c r="S173" s="27">
        <v>4000</v>
      </c>
      <c r="T173" s="28">
        <f t="shared" si="10"/>
        <v>3000</v>
      </c>
      <c r="V173" t="str">
        <f t="shared" si="11"/>
        <v>OK</v>
      </c>
    </row>
    <row r="174" spans="1:22">
      <c r="A174" s="6">
        <v>45907</v>
      </c>
      <c r="B174" t="s">
        <v>22</v>
      </c>
      <c r="C174" t="s">
        <v>138</v>
      </c>
      <c r="D174" t="s">
        <v>24</v>
      </c>
      <c r="E174" t="s">
        <v>22</v>
      </c>
      <c r="F174" t="s">
        <v>140</v>
      </c>
      <c r="G174" t="s">
        <v>143</v>
      </c>
      <c r="H174" s="25">
        <v>0.4236111111111111</v>
      </c>
      <c r="I174" s="25">
        <v>0.42708333333333331</v>
      </c>
      <c r="J174" s="25">
        <v>0.44791666666666669</v>
      </c>
      <c r="K174" s="25">
        <v>0.4513888888888889</v>
      </c>
      <c r="L174" s="1">
        <f t="shared" si="8"/>
        <v>2.777777777777779E-2</v>
      </c>
      <c r="M174" s="1">
        <f t="shared" si="9"/>
        <v>2.083333333333337E-2</v>
      </c>
      <c r="N174" s="26">
        <v>1</v>
      </c>
      <c r="O174" t="s">
        <v>141</v>
      </c>
      <c r="Q174" t="s">
        <v>108</v>
      </c>
      <c r="S174" s="27">
        <v>4000</v>
      </c>
      <c r="T174" s="28">
        <f t="shared" si="10"/>
        <v>2666.67</v>
      </c>
      <c r="V174" t="str">
        <f t="shared" si="11"/>
        <v>OK</v>
      </c>
    </row>
    <row r="175" spans="1:22">
      <c r="A175" s="6">
        <v>45907</v>
      </c>
      <c r="B175" t="s">
        <v>22</v>
      </c>
      <c r="C175" t="s">
        <v>138</v>
      </c>
      <c r="D175" t="s">
        <v>24</v>
      </c>
      <c r="E175" t="s">
        <v>22</v>
      </c>
      <c r="F175" t="s">
        <v>143</v>
      </c>
      <c r="G175" t="s">
        <v>139</v>
      </c>
      <c r="H175" s="25">
        <v>0.53819444444444442</v>
      </c>
      <c r="I175" s="25">
        <v>0.54166666666666663</v>
      </c>
      <c r="J175" s="25">
        <v>0.60069444444444442</v>
      </c>
      <c r="K175" s="25">
        <v>0.60416666666666663</v>
      </c>
      <c r="L175" s="1">
        <f t="shared" si="8"/>
        <v>6.597222222222221E-2</v>
      </c>
      <c r="M175" s="1">
        <f t="shared" si="9"/>
        <v>5.902777777777779E-2</v>
      </c>
      <c r="N175" s="26">
        <v>1</v>
      </c>
      <c r="O175" t="s">
        <v>141</v>
      </c>
      <c r="Q175" t="s">
        <v>108</v>
      </c>
      <c r="S175" s="27">
        <v>4000</v>
      </c>
      <c r="T175" s="28">
        <f t="shared" si="10"/>
        <v>6333.33</v>
      </c>
      <c r="V175" t="str">
        <f t="shared" si="11"/>
        <v>OK</v>
      </c>
    </row>
    <row r="176" spans="1:22">
      <c r="A176" s="6">
        <v>45920</v>
      </c>
      <c r="B176" t="s">
        <v>22</v>
      </c>
      <c r="C176" t="s">
        <v>82</v>
      </c>
      <c r="D176" t="s">
        <v>80</v>
      </c>
      <c r="E176" t="s">
        <v>22</v>
      </c>
      <c r="F176" t="s">
        <v>25</v>
      </c>
      <c r="G176" t="s">
        <v>25</v>
      </c>
      <c r="H176" s="25">
        <v>0.3576388888888889</v>
      </c>
      <c r="I176" s="25">
        <v>0.3611111111111111</v>
      </c>
      <c r="J176" s="25">
        <v>0.43194444444444446</v>
      </c>
      <c r="K176" s="25">
        <v>0.43541666666666662</v>
      </c>
      <c r="L176" s="1">
        <f t="shared" si="8"/>
        <v>7.7777777777777724E-2</v>
      </c>
      <c r="M176" s="1">
        <f t="shared" si="9"/>
        <v>7.0833333333333359E-2</v>
      </c>
      <c r="N176" s="26">
        <v>2</v>
      </c>
      <c r="O176" t="s">
        <v>26</v>
      </c>
      <c r="Q176" t="s">
        <v>27</v>
      </c>
      <c r="R176" t="s">
        <v>144</v>
      </c>
      <c r="S176" s="27">
        <v>2370</v>
      </c>
      <c r="T176" s="28">
        <f t="shared" si="10"/>
        <v>4424</v>
      </c>
      <c r="V176" t="str">
        <f t="shared" si="11"/>
        <v>OK</v>
      </c>
    </row>
    <row r="177" spans="1:22">
      <c r="A177" s="6">
        <v>45942</v>
      </c>
      <c r="B177" t="s">
        <v>48</v>
      </c>
      <c r="C177" t="s">
        <v>145</v>
      </c>
      <c r="D177" t="s">
        <v>146</v>
      </c>
      <c r="E177" t="s">
        <v>51</v>
      </c>
      <c r="F177" t="s">
        <v>25</v>
      </c>
      <c r="G177" t="s">
        <v>25</v>
      </c>
      <c r="H177" s="25">
        <v>0.4236111111111111</v>
      </c>
      <c r="I177" s="25">
        <v>0.42708333333333331</v>
      </c>
      <c r="J177" s="25">
        <v>0.47222222222222221</v>
      </c>
      <c r="K177" s="25">
        <v>0.47569444444444442</v>
      </c>
      <c r="L177" s="1">
        <f t="shared" si="8"/>
        <v>5.2083333333333315E-2</v>
      </c>
      <c r="M177" s="1">
        <f t="shared" si="9"/>
        <v>4.5138888888888895E-2</v>
      </c>
      <c r="N177" s="26">
        <v>5</v>
      </c>
      <c r="O177" t="s">
        <v>26</v>
      </c>
      <c r="P177" t="s">
        <v>96</v>
      </c>
      <c r="Q177" t="s">
        <v>32</v>
      </c>
      <c r="R177" t="s">
        <v>147</v>
      </c>
      <c r="S177" s="27">
        <v>3060</v>
      </c>
      <c r="T177" s="28">
        <f t="shared" si="10"/>
        <v>3825</v>
      </c>
      <c r="V177" t="str">
        <f t="shared" si="11"/>
        <v>OK</v>
      </c>
    </row>
    <row r="178" spans="1:22">
      <c r="A178" s="6">
        <v>45942</v>
      </c>
      <c r="B178" t="s">
        <v>48</v>
      </c>
      <c r="C178" t="s">
        <v>145</v>
      </c>
      <c r="D178" t="s">
        <v>146</v>
      </c>
      <c r="E178" t="s">
        <v>51</v>
      </c>
      <c r="F178" t="s">
        <v>25</v>
      </c>
      <c r="G178" t="s">
        <v>25</v>
      </c>
      <c r="H178" s="25">
        <v>0.47916666666666669</v>
      </c>
      <c r="I178" s="25">
        <v>0.4826388888888889</v>
      </c>
      <c r="J178" s="25">
        <v>0.49652777777777779</v>
      </c>
      <c r="K178" s="25">
        <v>0.5</v>
      </c>
      <c r="L178" s="1">
        <f t="shared" si="8"/>
        <v>2.0833333333333315E-2</v>
      </c>
      <c r="M178" s="1">
        <f t="shared" si="9"/>
        <v>1.3888888888888895E-2</v>
      </c>
      <c r="N178" s="26">
        <v>4</v>
      </c>
      <c r="O178" t="s">
        <v>26</v>
      </c>
      <c r="Q178" t="s">
        <v>27</v>
      </c>
      <c r="S178" s="27">
        <v>3060</v>
      </c>
      <c r="T178" s="28">
        <f t="shared" si="10"/>
        <v>1530</v>
      </c>
      <c r="V178" t="str">
        <f t="shared" si="11"/>
        <v>OK</v>
      </c>
    </row>
    <row r="179" spans="1:22">
      <c r="A179" s="6">
        <v>45949</v>
      </c>
      <c r="B179" t="s">
        <v>48</v>
      </c>
      <c r="C179" t="s">
        <v>148</v>
      </c>
      <c r="D179" t="s">
        <v>146</v>
      </c>
      <c r="E179" t="s">
        <v>51</v>
      </c>
      <c r="F179" t="s">
        <v>139</v>
      </c>
      <c r="G179" t="s">
        <v>149</v>
      </c>
      <c r="H179" s="25">
        <v>0.31944444444444442</v>
      </c>
      <c r="I179" s="25">
        <v>0.32291666666666669</v>
      </c>
      <c r="J179" s="25">
        <v>0.37222222222222223</v>
      </c>
      <c r="K179" s="25">
        <v>0.41041666666666665</v>
      </c>
      <c r="L179" s="1">
        <f t="shared" si="8"/>
        <v>9.0972222222222232E-2</v>
      </c>
      <c r="M179" s="1">
        <f t="shared" si="9"/>
        <v>4.9305555555555547E-2</v>
      </c>
      <c r="N179" s="26">
        <v>1</v>
      </c>
      <c r="O179" t="s">
        <v>141</v>
      </c>
      <c r="Q179" t="s">
        <v>108</v>
      </c>
      <c r="S179" s="27">
        <v>5000</v>
      </c>
      <c r="T179" s="28">
        <f t="shared" si="10"/>
        <v>10916.67</v>
      </c>
      <c r="V179" t="str">
        <f t="shared" si="11"/>
        <v>OK</v>
      </c>
    </row>
    <row r="180" spans="1:22">
      <c r="A180" s="6">
        <v>45949</v>
      </c>
      <c r="B180" t="s">
        <v>48</v>
      </c>
      <c r="C180" t="s">
        <v>148</v>
      </c>
      <c r="D180" t="s">
        <v>146</v>
      </c>
      <c r="E180" t="s">
        <v>51</v>
      </c>
      <c r="F180" t="s">
        <v>149</v>
      </c>
      <c r="G180" t="s">
        <v>139</v>
      </c>
      <c r="H180" s="25">
        <v>0.58333333333333337</v>
      </c>
      <c r="I180" s="25">
        <v>0.58680555555555558</v>
      </c>
      <c r="J180" s="25">
        <v>0.66111111111111109</v>
      </c>
      <c r="K180" s="25">
        <v>0.6645833333333333</v>
      </c>
      <c r="L180" s="1">
        <f t="shared" si="8"/>
        <v>8.1249999999999933E-2</v>
      </c>
      <c r="M180" s="1">
        <f t="shared" si="9"/>
        <v>7.4305555555555514E-2</v>
      </c>
      <c r="N180" s="26">
        <v>1</v>
      </c>
      <c r="O180" t="s">
        <v>141</v>
      </c>
      <c r="Q180" t="s">
        <v>108</v>
      </c>
      <c r="S180" s="27">
        <v>5000</v>
      </c>
      <c r="T180" s="28">
        <f t="shared" si="10"/>
        <v>9750</v>
      </c>
      <c r="V180" t="str">
        <f t="shared" si="11"/>
        <v>OK</v>
      </c>
    </row>
    <row r="181" spans="1:22">
      <c r="A181" s="6">
        <v>46019</v>
      </c>
      <c r="B181" t="s">
        <v>22</v>
      </c>
      <c r="C181" t="s">
        <v>82</v>
      </c>
      <c r="D181" t="s">
        <v>80</v>
      </c>
      <c r="E181" t="s">
        <v>22</v>
      </c>
      <c r="F181" t="s">
        <v>25</v>
      </c>
      <c r="G181" t="s">
        <v>25</v>
      </c>
      <c r="H181" s="25">
        <v>0.43055555555555558</v>
      </c>
      <c r="I181" s="25">
        <v>0.43402777777777773</v>
      </c>
      <c r="J181" s="25">
        <v>0.50486111111111109</v>
      </c>
      <c r="K181" s="25">
        <v>0.5083333333333333</v>
      </c>
      <c r="L181" s="1">
        <f t="shared" si="8"/>
        <v>7.7777777777777724E-2</v>
      </c>
      <c r="M181" s="1">
        <f t="shared" si="9"/>
        <v>7.0833333333333359E-2</v>
      </c>
      <c r="N181" s="26">
        <v>2</v>
      </c>
      <c r="O181" t="s">
        <v>26</v>
      </c>
      <c r="Q181" t="s">
        <v>27</v>
      </c>
      <c r="R181" t="s">
        <v>66</v>
      </c>
      <c r="S181" s="27">
        <v>2370</v>
      </c>
      <c r="T181" s="28">
        <f t="shared" si="10"/>
        <v>4424</v>
      </c>
      <c r="V181" t="str">
        <f t="shared" si="11"/>
        <v>OK</v>
      </c>
    </row>
    <row r="182" spans="1:22">
      <c r="A182" s="6">
        <v>46117</v>
      </c>
      <c r="B182" t="s">
        <v>22</v>
      </c>
      <c r="C182" t="s">
        <v>124</v>
      </c>
      <c r="D182" t="s">
        <v>24</v>
      </c>
      <c r="E182" t="s">
        <v>22</v>
      </c>
      <c r="F182" t="s">
        <v>25</v>
      </c>
      <c r="G182" t="s">
        <v>25</v>
      </c>
      <c r="H182" s="25">
        <v>0.53819444444444442</v>
      </c>
      <c r="I182" s="25">
        <v>0.54166666666666663</v>
      </c>
      <c r="J182" s="25">
        <v>0.57916666666666672</v>
      </c>
      <c r="K182" s="25">
        <v>0.58263888888888882</v>
      </c>
      <c r="L182" s="1">
        <f t="shared" si="8"/>
        <v>4.4444444444444398E-2</v>
      </c>
      <c r="M182" s="1">
        <f t="shared" si="9"/>
        <v>3.7500000000000089E-2</v>
      </c>
      <c r="N182" s="26">
        <v>3</v>
      </c>
      <c r="O182" t="s">
        <v>26</v>
      </c>
      <c r="Q182" t="s">
        <v>27</v>
      </c>
      <c r="S182" s="27">
        <v>2250</v>
      </c>
      <c r="T182" s="28">
        <f t="shared" si="10"/>
        <v>2400</v>
      </c>
      <c r="V182" t="str">
        <f t="shared" si="11"/>
        <v>OK</v>
      </c>
    </row>
    <row r="183" spans="1:22">
      <c r="A183" s="6">
        <v>46169</v>
      </c>
      <c r="B183" t="s">
        <v>48</v>
      </c>
      <c r="C183" t="s">
        <v>150</v>
      </c>
      <c r="D183" t="s">
        <v>24</v>
      </c>
      <c r="E183" t="s">
        <v>51</v>
      </c>
      <c r="F183" t="s">
        <v>25</v>
      </c>
      <c r="G183" t="s">
        <v>25</v>
      </c>
      <c r="H183" s="25">
        <v>0.7270833333333333</v>
      </c>
      <c r="I183" s="25">
        <v>0.73055555555555551</v>
      </c>
      <c r="J183" s="25">
        <v>0.77222222222222225</v>
      </c>
      <c r="K183" s="25">
        <v>0.77569444444444446</v>
      </c>
      <c r="L183" s="1">
        <f t="shared" si="8"/>
        <v>4.861111111111116E-2</v>
      </c>
      <c r="M183" s="1">
        <f t="shared" si="9"/>
        <v>4.1666666666666741E-2</v>
      </c>
      <c r="N183" s="26">
        <v>7</v>
      </c>
      <c r="O183" t="s">
        <v>26</v>
      </c>
      <c r="Q183" t="s">
        <v>27</v>
      </c>
      <c r="R183" t="s">
        <v>151</v>
      </c>
      <c r="S183" s="27">
        <v>3060</v>
      </c>
      <c r="T183" s="28">
        <f t="shared" si="10"/>
        <v>3570</v>
      </c>
      <c r="V183" t="str">
        <f t="shared" si="11"/>
        <v>OK</v>
      </c>
    </row>
    <row r="184" spans="1:22">
      <c r="A184" s="6">
        <v>46169</v>
      </c>
      <c r="B184" t="s">
        <v>48</v>
      </c>
      <c r="C184" t="s">
        <v>150</v>
      </c>
      <c r="D184" t="s">
        <v>24</v>
      </c>
      <c r="E184" t="s">
        <v>51</v>
      </c>
      <c r="F184" t="s">
        <v>25</v>
      </c>
      <c r="G184" t="s">
        <v>25</v>
      </c>
      <c r="H184" s="25">
        <v>0.78055555555555556</v>
      </c>
      <c r="I184" s="25">
        <v>0.78402777777777777</v>
      </c>
      <c r="J184" s="25">
        <v>0.79791666666666672</v>
      </c>
      <c r="K184" s="25">
        <v>0.80138888888888893</v>
      </c>
      <c r="L184" s="1">
        <f t="shared" si="8"/>
        <v>2.083333333333337E-2</v>
      </c>
      <c r="M184" s="1">
        <f t="shared" si="9"/>
        <v>1.3888888888888951E-2</v>
      </c>
      <c r="N184" s="26">
        <v>1</v>
      </c>
      <c r="O184" t="s">
        <v>26</v>
      </c>
      <c r="Q184" t="s">
        <v>27</v>
      </c>
      <c r="R184" t="s">
        <v>151</v>
      </c>
      <c r="S184" s="27">
        <v>3060</v>
      </c>
      <c r="T184" s="28">
        <f t="shared" si="10"/>
        <v>1530</v>
      </c>
      <c r="V184" t="str">
        <f t="shared" si="11"/>
        <v>OK</v>
      </c>
    </row>
    <row r="185" spans="1:22">
      <c r="A185" s="6">
        <v>46208</v>
      </c>
      <c r="B185" t="s">
        <v>48</v>
      </c>
      <c r="C185" t="s">
        <v>152</v>
      </c>
      <c r="D185" t="s">
        <v>153</v>
      </c>
      <c r="E185" t="s">
        <v>51</v>
      </c>
      <c r="F185" t="s">
        <v>139</v>
      </c>
      <c r="G185" t="s">
        <v>129</v>
      </c>
      <c r="H185" s="25">
        <v>0.28888888888888886</v>
      </c>
      <c r="I185" s="25">
        <v>0.29236111111111113</v>
      </c>
      <c r="J185" s="25">
        <v>0.38472222222222224</v>
      </c>
      <c r="K185" s="25">
        <v>0.38819444444444445</v>
      </c>
      <c r="L185" s="1">
        <f t="shared" si="8"/>
        <v>9.9305555555555591E-2</v>
      </c>
      <c r="M185" s="1">
        <f t="shared" si="9"/>
        <v>9.2361111111111116E-2</v>
      </c>
      <c r="N185" s="26">
        <v>1</v>
      </c>
      <c r="O185" t="s">
        <v>141</v>
      </c>
      <c r="Q185" t="s">
        <v>108</v>
      </c>
      <c r="S185" s="27">
        <v>5600</v>
      </c>
      <c r="T185" s="28">
        <f t="shared" si="10"/>
        <v>13346.67</v>
      </c>
      <c r="V185" t="str">
        <f t="shared" si="11"/>
        <v>OK</v>
      </c>
    </row>
    <row r="186" spans="1:22">
      <c r="A186" s="6">
        <v>46208</v>
      </c>
      <c r="B186" t="s">
        <v>48</v>
      </c>
      <c r="C186" t="s">
        <v>152</v>
      </c>
      <c r="D186" t="s">
        <v>153</v>
      </c>
      <c r="E186" t="s">
        <v>51</v>
      </c>
      <c r="F186" t="s">
        <v>129</v>
      </c>
      <c r="G186" t="s">
        <v>139</v>
      </c>
      <c r="H186" s="25">
        <v>0.65763888888888888</v>
      </c>
      <c r="I186" s="25">
        <v>0.66111111111111109</v>
      </c>
      <c r="J186" s="25">
        <v>0.74097222222222225</v>
      </c>
      <c r="K186" s="25">
        <v>0.74444444444444446</v>
      </c>
      <c r="L186" s="1">
        <f t="shared" si="8"/>
        <v>8.680555555555558E-2</v>
      </c>
      <c r="M186" s="1">
        <f t="shared" si="9"/>
        <v>7.986111111111116E-2</v>
      </c>
      <c r="N186" s="26">
        <v>1</v>
      </c>
      <c r="O186" t="s">
        <v>141</v>
      </c>
      <c r="Q186" t="s">
        <v>108</v>
      </c>
      <c r="S186" s="27">
        <v>5600</v>
      </c>
      <c r="T186" s="28">
        <f t="shared" si="10"/>
        <v>11666.67</v>
      </c>
      <c r="V186" t="str">
        <f t="shared" si="11"/>
        <v>OK</v>
      </c>
    </row>
    <row r="187" spans="1:22">
      <c r="A187" s="6">
        <v>46221</v>
      </c>
      <c r="B187" t="s">
        <v>22</v>
      </c>
      <c r="C187" t="s">
        <v>82</v>
      </c>
      <c r="D187" t="s">
        <v>80</v>
      </c>
      <c r="E187" t="s">
        <v>22</v>
      </c>
      <c r="F187" t="s">
        <v>25</v>
      </c>
      <c r="G187" t="s">
        <v>154</v>
      </c>
      <c r="H187" s="25">
        <v>0.63541666666666663</v>
      </c>
      <c r="I187" s="25">
        <v>0.63888888888888895</v>
      </c>
      <c r="J187" s="25">
        <v>0.66527777777777775</v>
      </c>
      <c r="K187" s="25">
        <v>0.66875000000000007</v>
      </c>
      <c r="L187" s="1">
        <f t="shared" si="8"/>
        <v>3.3333333333333437E-2</v>
      </c>
      <c r="M187" s="1">
        <f t="shared" si="9"/>
        <v>2.6388888888888795E-2</v>
      </c>
      <c r="N187" s="26">
        <v>1</v>
      </c>
      <c r="O187" t="s">
        <v>26</v>
      </c>
      <c r="Q187" t="s">
        <v>27</v>
      </c>
      <c r="S187" s="27">
        <v>2370</v>
      </c>
      <c r="T187" s="28">
        <f t="shared" si="10"/>
        <v>1896</v>
      </c>
      <c r="V187" t="str">
        <f t="shared" si="11"/>
        <v>OK</v>
      </c>
    </row>
    <row r="188" spans="1:22">
      <c r="A188" s="6">
        <v>46221</v>
      </c>
      <c r="B188" t="s">
        <v>22</v>
      </c>
      <c r="C188" t="s">
        <v>82</v>
      </c>
      <c r="D188" t="s">
        <v>80</v>
      </c>
      <c r="E188" t="s">
        <v>22</v>
      </c>
      <c r="F188" t="s">
        <v>154</v>
      </c>
      <c r="G188" t="s">
        <v>25</v>
      </c>
      <c r="H188" s="25">
        <v>0.68194444444444446</v>
      </c>
      <c r="I188" s="25">
        <v>0.68541666666666667</v>
      </c>
      <c r="J188" s="25">
        <v>0.72361111111111109</v>
      </c>
      <c r="K188" s="25">
        <v>0.7270833333333333</v>
      </c>
      <c r="L188" s="1">
        <f t="shared" si="8"/>
        <v>4.513888888888884E-2</v>
      </c>
      <c r="M188" s="1">
        <f t="shared" si="9"/>
        <v>3.819444444444442E-2</v>
      </c>
      <c r="N188" s="26">
        <v>1</v>
      </c>
      <c r="O188" t="s">
        <v>26</v>
      </c>
      <c r="Q188" t="s">
        <v>27</v>
      </c>
      <c r="S188" s="27">
        <v>2370</v>
      </c>
      <c r="T188" s="28">
        <f t="shared" si="10"/>
        <v>2567.5</v>
      </c>
      <c r="V188" t="str">
        <f t="shared" si="11"/>
        <v>OK</v>
      </c>
    </row>
    <row r="189" spans="1:22">
      <c r="A189" s="6">
        <v>46227</v>
      </c>
      <c r="B189" t="s">
        <v>48</v>
      </c>
      <c r="C189" t="s">
        <v>152</v>
      </c>
      <c r="D189" t="s">
        <v>153</v>
      </c>
      <c r="E189" t="s">
        <v>51</v>
      </c>
      <c r="F189" t="s">
        <v>139</v>
      </c>
      <c r="G189" t="s">
        <v>155</v>
      </c>
      <c r="H189" s="25">
        <v>0.28819444444444442</v>
      </c>
      <c r="I189" s="25">
        <v>0.29166666666666669</v>
      </c>
      <c r="J189" s="25">
        <v>0.3888888888888889</v>
      </c>
      <c r="K189" s="25">
        <v>0.3923611111111111</v>
      </c>
      <c r="L189" s="1">
        <f t="shared" si="8"/>
        <v>0.10416666666666669</v>
      </c>
      <c r="M189" s="1">
        <f t="shared" si="9"/>
        <v>9.722222222222221E-2</v>
      </c>
      <c r="N189" s="26">
        <v>1</v>
      </c>
      <c r="O189" t="s">
        <v>141</v>
      </c>
      <c r="Q189" t="s">
        <v>108</v>
      </c>
      <c r="S189" s="27">
        <v>5600</v>
      </c>
      <c r="T189" s="28">
        <f t="shared" si="10"/>
        <v>14000</v>
      </c>
      <c r="V189" t="str">
        <f t="shared" si="11"/>
        <v>OK</v>
      </c>
    </row>
    <row r="190" spans="1:22">
      <c r="A190" s="6">
        <v>46228</v>
      </c>
      <c r="B190" t="s">
        <v>48</v>
      </c>
      <c r="C190" t="s">
        <v>152</v>
      </c>
      <c r="D190" t="s">
        <v>153</v>
      </c>
      <c r="E190" t="s">
        <v>51</v>
      </c>
      <c r="F190" t="s">
        <v>155</v>
      </c>
      <c r="G190" t="s">
        <v>155</v>
      </c>
      <c r="H190" s="25">
        <v>0.71388888888888891</v>
      </c>
      <c r="I190" s="25">
        <v>0.71736111111111112</v>
      </c>
      <c r="J190" s="25">
        <v>0.74652777777777779</v>
      </c>
      <c r="K190" s="25">
        <v>0.75</v>
      </c>
      <c r="L190" s="1">
        <f t="shared" si="8"/>
        <v>3.6111111111111094E-2</v>
      </c>
      <c r="M190" s="1">
        <f t="shared" si="9"/>
        <v>2.9166666666666674E-2</v>
      </c>
      <c r="N190" s="26">
        <v>1</v>
      </c>
      <c r="O190" t="s">
        <v>141</v>
      </c>
      <c r="Q190" t="s">
        <v>108</v>
      </c>
      <c r="S190" s="27">
        <v>5600</v>
      </c>
      <c r="T190" s="28">
        <f t="shared" si="10"/>
        <v>4853.33</v>
      </c>
      <c r="V190" t="str">
        <f t="shared" si="11"/>
        <v>OK</v>
      </c>
    </row>
    <row r="191" spans="1:22">
      <c r="A191" s="6">
        <v>46229</v>
      </c>
      <c r="B191" t="s">
        <v>48</v>
      </c>
      <c r="C191" t="s">
        <v>152</v>
      </c>
      <c r="D191" t="s">
        <v>153</v>
      </c>
      <c r="E191" t="s">
        <v>51</v>
      </c>
      <c r="F191" t="s">
        <v>155</v>
      </c>
      <c r="G191" t="s">
        <v>139</v>
      </c>
      <c r="H191" s="25">
        <v>0.46527777777777779</v>
      </c>
      <c r="I191" s="25">
        <v>0.46875</v>
      </c>
      <c r="J191" s="25">
        <v>0.5854166666666667</v>
      </c>
      <c r="K191" s="25">
        <v>0.58888888888888891</v>
      </c>
      <c r="L191" s="1">
        <f t="shared" si="8"/>
        <v>0.12361111111111112</v>
      </c>
      <c r="M191" s="1">
        <f t="shared" si="9"/>
        <v>0.1166666666666667</v>
      </c>
      <c r="N191" s="26">
        <v>1</v>
      </c>
      <c r="O191" t="s">
        <v>141</v>
      </c>
      <c r="Q191" t="s">
        <v>108</v>
      </c>
      <c r="S191" s="27">
        <v>5600</v>
      </c>
      <c r="T191" s="28">
        <f t="shared" si="10"/>
        <v>16613.330000000002</v>
      </c>
      <c r="V191" t="str">
        <f t="shared" si="11"/>
        <v>OK</v>
      </c>
    </row>
    <row r="192" spans="1:22">
      <c r="A192" s="6">
        <v>46242</v>
      </c>
      <c r="B192" t="s">
        <v>22</v>
      </c>
      <c r="C192" t="s">
        <v>156</v>
      </c>
      <c r="D192" t="s">
        <v>24</v>
      </c>
      <c r="E192" t="s">
        <v>22</v>
      </c>
      <c r="F192" t="s">
        <v>139</v>
      </c>
      <c r="G192" t="s">
        <v>157</v>
      </c>
      <c r="H192" s="25">
        <v>0.53125</v>
      </c>
      <c r="I192" s="25">
        <v>0.53472222222222221</v>
      </c>
      <c r="J192" s="25">
        <v>0.57222222222222219</v>
      </c>
      <c r="K192" s="25">
        <v>0.5756944444444444</v>
      </c>
      <c r="L192" s="1">
        <f t="shared" si="8"/>
        <v>4.4444444444444398E-2</v>
      </c>
      <c r="M192" s="1">
        <f t="shared" si="9"/>
        <v>3.7499999999999978E-2</v>
      </c>
      <c r="N192" s="26">
        <v>1</v>
      </c>
      <c r="O192" t="s">
        <v>141</v>
      </c>
      <c r="Q192" t="s">
        <v>108</v>
      </c>
      <c r="S192" s="27">
        <v>4000</v>
      </c>
      <c r="T192" s="28">
        <f t="shared" si="10"/>
        <v>4266.67</v>
      </c>
      <c r="V192" t="str">
        <f t="shared" si="11"/>
        <v>OK</v>
      </c>
    </row>
    <row r="193" spans="1:22">
      <c r="A193" s="6">
        <v>46242</v>
      </c>
      <c r="B193" t="s">
        <v>22</v>
      </c>
      <c r="C193" t="s">
        <v>156</v>
      </c>
      <c r="D193" t="s">
        <v>24</v>
      </c>
      <c r="E193" t="s">
        <v>22</v>
      </c>
      <c r="F193" t="s">
        <v>157</v>
      </c>
      <c r="G193" t="s">
        <v>143</v>
      </c>
      <c r="H193" s="25">
        <v>0.59097222222222223</v>
      </c>
      <c r="I193" s="25">
        <v>0.59444444444444444</v>
      </c>
      <c r="J193" s="25">
        <v>0.61458333333333337</v>
      </c>
      <c r="K193" s="25">
        <v>0.61805555555555558</v>
      </c>
      <c r="L193" s="1">
        <f t="shared" si="8"/>
        <v>2.7083333333333348E-2</v>
      </c>
      <c r="M193" s="1">
        <f t="shared" si="9"/>
        <v>2.0138888888888928E-2</v>
      </c>
      <c r="N193" s="26">
        <v>1</v>
      </c>
      <c r="O193" t="s">
        <v>141</v>
      </c>
      <c r="Q193" t="s">
        <v>108</v>
      </c>
      <c r="S193" s="27">
        <v>4000</v>
      </c>
      <c r="T193" s="28">
        <f t="shared" si="10"/>
        <v>2600</v>
      </c>
      <c r="V193" t="str">
        <f t="shared" si="11"/>
        <v>OK</v>
      </c>
    </row>
    <row r="194" spans="1:22">
      <c r="A194" s="6">
        <v>46243</v>
      </c>
      <c r="B194" t="s">
        <v>22</v>
      </c>
      <c r="C194" t="s">
        <v>156</v>
      </c>
      <c r="D194" t="s">
        <v>24</v>
      </c>
      <c r="E194" t="s">
        <v>22</v>
      </c>
      <c r="F194" t="s">
        <v>143</v>
      </c>
      <c r="G194" t="s">
        <v>139</v>
      </c>
      <c r="H194" s="25">
        <v>0.55069444444444449</v>
      </c>
      <c r="I194" s="25">
        <v>0.5541666666666667</v>
      </c>
      <c r="J194" s="25">
        <v>0.60624999999999996</v>
      </c>
      <c r="K194" s="25">
        <v>0.60972222222222228</v>
      </c>
      <c r="L194" s="1">
        <f t="shared" ref="L194:L257" si="12">IF($A194="","",IF(AND(ISNUMBER($H194),ISNUMBER($K194)),MOD($K194-$H194,1),""))</f>
        <v>5.902777777777779E-2</v>
      </c>
      <c r="M194" s="1">
        <f t="shared" ref="M194:M257" si="13">IF($A194="","",IF(AND(ISNUMBER($I194),ISNUMBER($J194)),MOD($J194-$I194,1),""))</f>
        <v>5.2083333333333259E-2</v>
      </c>
      <c r="N194" s="26">
        <v>1</v>
      </c>
      <c r="O194" t="s">
        <v>141</v>
      </c>
      <c r="Q194" t="s">
        <v>108</v>
      </c>
      <c r="S194" s="27">
        <v>4000</v>
      </c>
      <c r="T194" s="28">
        <f t="shared" si="10"/>
        <v>5666.67</v>
      </c>
      <c r="V194" t="str">
        <f t="shared" si="11"/>
        <v>OK</v>
      </c>
    </row>
    <row r="195" spans="1:22">
      <c r="A195" s="6">
        <v>46250</v>
      </c>
      <c r="B195" t="s">
        <v>22</v>
      </c>
      <c r="C195" t="s">
        <v>82</v>
      </c>
      <c r="D195" t="s">
        <v>80</v>
      </c>
      <c r="E195" t="s">
        <v>22</v>
      </c>
      <c r="F195" t="s">
        <v>25</v>
      </c>
      <c r="G195" t="s">
        <v>157</v>
      </c>
      <c r="H195" s="25">
        <v>0.42222222222222222</v>
      </c>
      <c r="I195" s="25">
        <v>0.42569444444444443</v>
      </c>
      <c r="J195" s="25">
        <v>0.47430555555555554</v>
      </c>
      <c r="K195" s="25">
        <v>0.4777777777777778</v>
      </c>
      <c r="L195" s="1">
        <f t="shared" si="12"/>
        <v>5.555555555555558E-2</v>
      </c>
      <c r="M195" s="1">
        <f t="shared" si="13"/>
        <v>4.8611111111111105E-2</v>
      </c>
      <c r="N195" s="26">
        <v>1</v>
      </c>
      <c r="O195" t="s">
        <v>26</v>
      </c>
      <c r="Q195" t="s">
        <v>27</v>
      </c>
      <c r="S195" s="27">
        <v>2370</v>
      </c>
      <c r="T195" s="28">
        <f t="shared" si="10"/>
        <v>3160</v>
      </c>
      <c r="V195" t="str">
        <f t="shared" si="11"/>
        <v>OK</v>
      </c>
    </row>
    <row r="196" spans="1:22">
      <c r="A196" s="6">
        <v>46250</v>
      </c>
      <c r="B196" t="s">
        <v>22</v>
      </c>
      <c r="C196" t="s">
        <v>82</v>
      </c>
      <c r="D196" t="s">
        <v>80</v>
      </c>
      <c r="E196" t="s">
        <v>22</v>
      </c>
      <c r="F196" t="s">
        <v>157</v>
      </c>
      <c r="G196" t="s">
        <v>25</v>
      </c>
      <c r="H196" s="25">
        <v>0.5541666666666667</v>
      </c>
      <c r="I196" s="25">
        <v>0.55763888888888891</v>
      </c>
      <c r="J196" s="25">
        <v>0.61319444444444449</v>
      </c>
      <c r="K196" s="25">
        <v>0.6166666666666667</v>
      </c>
      <c r="L196" s="1">
        <f t="shared" si="12"/>
        <v>6.25E-2</v>
      </c>
      <c r="M196" s="1">
        <f t="shared" si="13"/>
        <v>5.555555555555558E-2</v>
      </c>
      <c r="N196" s="26">
        <v>1</v>
      </c>
      <c r="O196" t="s">
        <v>26</v>
      </c>
      <c r="Q196" t="s">
        <v>27</v>
      </c>
      <c r="S196" s="27">
        <v>2370</v>
      </c>
      <c r="T196" s="28">
        <f t="shared" si="10"/>
        <v>3555</v>
      </c>
      <c r="V196" t="str">
        <f t="shared" si="11"/>
        <v>OK</v>
      </c>
    </row>
    <row r="197" spans="1:22">
      <c r="A197" s="6"/>
      <c r="H197" s="25"/>
      <c r="I197" s="25"/>
      <c r="J197" s="25"/>
      <c r="K197" s="25"/>
      <c r="L197" s="1" t="str">
        <f t="shared" si="12"/>
        <v/>
      </c>
      <c r="M197" s="1" t="str">
        <f t="shared" si="13"/>
        <v/>
      </c>
      <c r="N197" s="26"/>
      <c r="S197" s="27" t="str">
        <f t="shared" ref="S197:S260" si="14">IF($C197="","",IF($C197="3344",450,IF($C197="5194",320,IF($C197="6606",290,IF($C197="7430",290,IF($C197="8115",2080,IF($C197="8205",450,IF($C197="8441",260,IF($C197="OK-BIC",3060,IF($C197="OK-BID",3060,IF($C197="OK-BIK",2700,IF($C197="OK-BIL",3060,IF($C197="OK-BIN",3060,IF($C197="OK-BIR",3060,IF($C197="OK-BUG12",2150,IF($C197="OK-CUG23",2370,IF($C197="OK-DAS",5600,IF($C197="OK-DOD",4420,IF($C197="OK-DPH",5000,IF($C197="OK-DUI89",2250,IF($C197="OK-DUI94",4000,IF($C197="OK-EUI10",2250,IF($C197="OK-EUI21",4000,IF($C197="OK-IAF",3060,IF($C197="OK-MPK",3820,IF($C197="OK-NUU90",2080,IF($C197="OK-UUR14",2250,IF($C197="OK-WUS17",3500,IF($C197="OK-XAI04",1860,"")))))))))))))))))))))))))))))</f>
        <v/>
      </c>
      <c r="T197" s="28" t="str">
        <f t="shared" si="10"/>
        <v/>
      </c>
      <c r="V197" t="str">
        <f t="shared" si="11"/>
        <v/>
      </c>
    </row>
    <row r="198" spans="1:22">
      <c r="A198" s="6"/>
      <c r="H198" s="25"/>
      <c r="I198" s="25"/>
      <c r="J198" s="25"/>
      <c r="K198" s="25"/>
      <c r="L198" s="1" t="str">
        <f t="shared" si="12"/>
        <v/>
      </c>
      <c r="M198" s="1" t="str">
        <f t="shared" si="13"/>
        <v/>
      </c>
      <c r="N198" s="26"/>
      <c r="S198" s="27" t="str">
        <f t="shared" si="14"/>
        <v/>
      </c>
      <c r="T198" s="28" t="str">
        <f t="shared" si="10"/>
        <v/>
      </c>
      <c r="V198" t="str">
        <f t="shared" si="11"/>
        <v/>
      </c>
    </row>
    <row r="199" spans="1:22">
      <c r="A199" s="6"/>
      <c r="H199" s="25"/>
      <c r="I199" s="25"/>
      <c r="J199" s="25"/>
      <c r="K199" s="25"/>
      <c r="L199" s="1" t="str">
        <f t="shared" si="12"/>
        <v/>
      </c>
      <c r="M199" s="1" t="str">
        <f t="shared" si="13"/>
        <v/>
      </c>
      <c r="N199" s="26"/>
      <c r="S199" s="27" t="str">
        <f t="shared" si="14"/>
        <v/>
      </c>
      <c r="T199" s="28" t="str">
        <f t="shared" si="10"/>
        <v/>
      </c>
      <c r="V199" t="str">
        <f t="shared" si="11"/>
        <v/>
      </c>
    </row>
    <row r="200" spans="1:22">
      <c r="A200" s="6"/>
      <c r="H200" s="25"/>
      <c r="I200" s="25"/>
      <c r="J200" s="25"/>
      <c r="K200" s="25"/>
      <c r="L200" s="1" t="str">
        <f t="shared" si="12"/>
        <v/>
      </c>
      <c r="M200" s="1" t="str">
        <f t="shared" si="13"/>
        <v/>
      </c>
      <c r="N200" s="26"/>
      <c r="S200" s="27" t="str">
        <f t="shared" si="14"/>
        <v/>
      </c>
      <c r="T200" s="28" t="str">
        <f t="shared" si="10"/>
        <v/>
      </c>
      <c r="V200" t="str">
        <f t="shared" si="11"/>
        <v/>
      </c>
    </row>
    <row r="201" spans="1:22">
      <c r="A201" s="6"/>
      <c r="H201" s="25"/>
      <c r="I201" s="25"/>
      <c r="J201" s="25"/>
      <c r="K201" s="25"/>
      <c r="L201" s="1" t="str">
        <f t="shared" si="12"/>
        <v/>
      </c>
      <c r="M201" s="1" t="str">
        <f t="shared" si="13"/>
        <v/>
      </c>
      <c r="N201" s="26"/>
      <c r="S201" s="27" t="str">
        <f t="shared" si="14"/>
        <v/>
      </c>
      <c r="T201" s="28" t="str">
        <f t="shared" si="10"/>
        <v/>
      </c>
      <c r="V201" t="str">
        <f t="shared" si="11"/>
        <v/>
      </c>
    </row>
    <row r="202" spans="1:22">
      <c r="A202" s="6"/>
      <c r="H202" s="25"/>
      <c r="I202" s="25"/>
      <c r="J202" s="25"/>
      <c r="K202" s="25"/>
      <c r="L202" s="1" t="str">
        <f t="shared" si="12"/>
        <v/>
      </c>
      <c r="M202" s="1" t="str">
        <f t="shared" si="13"/>
        <v/>
      </c>
      <c r="N202" s="26"/>
      <c r="S202" s="27" t="str">
        <f t="shared" si="14"/>
        <v/>
      </c>
      <c r="T202" s="28" t="str">
        <f t="shared" si="10"/>
        <v/>
      </c>
      <c r="V202" t="str">
        <f t="shared" si="11"/>
        <v/>
      </c>
    </row>
    <row r="203" spans="1:22">
      <c r="A203" s="6"/>
      <c r="H203" s="25"/>
      <c r="I203" s="25"/>
      <c r="J203" s="25"/>
      <c r="K203" s="25"/>
      <c r="L203" s="1" t="str">
        <f t="shared" si="12"/>
        <v/>
      </c>
      <c r="M203" s="1" t="str">
        <f t="shared" si="13"/>
        <v/>
      </c>
      <c r="N203" s="26"/>
      <c r="S203" s="27" t="str">
        <f t="shared" si="14"/>
        <v/>
      </c>
      <c r="T203" s="28" t="str">
        <f t="shared" si="10"/>
        <v/>
      </c>
      <c r="V203" t="str">
        <f t="shared" si="11"/>
        <v/>
      </c>
    </row>
    <row r="204" spans="1:22">
      <c r="A204" s="6"/>
      <c r="H204" s="25"/>
      <c r="I204" s="25"/>
      <c r="J204" s="25"/>
      <c r="K204" s="25"/>
      <c r="L204" s="1" t="str">
        <f t="shared" si="12"/>
        <v/>
      </c>
      <c r="M204" s="1" t="str">
        <f t="shared" si="13"/>
        <v/>
      </c>
      <c r="N204" s="26"/>
      <c r="S204" s="27" t="str">
        <f t="shared" si="14"/>
        <v/>
      </c>
      <c r="T204" s="28" t="str">
        <f t="shared" si="10"/>
        <v/>
      </c>
      <c r="V204" t="str">
        <f t="shared" si="11"/>
        <v/>
      </c>
    </row>
    <row r="205" spans="1:22">
      <c r="A205" s="6"/>
      <c r="H205" s="25"/>
      <c r="I205" s="25"/>
      <c r="J205" s="25"/>
      <c r="K205" s="25"/>
      <c r="L205" s="1" t="str">
        <f t="shared" si="12"/>
        <v/>
      </c>
      <c r="M205" s="1" t="str">
        <f t="shared" si="13"/>
        <v/>
      </c>
      <c r="N205" s="26"/>
      <c r="S205" s="27" t="str">
        <f t="shared" si="14"/>
        <v/>
      </c>
      <c r="T205" s="28" t="str">
        <f t="shared" si="10"/>
        <v/>
      </c>
      <c r="V205" t="str">
        <f t="shared" si="11"/>
        <v/>
      </c>
    </row>
    <row r="206" spans="1:22">
      <c r="A206" s="6"/>
      <c r="H206" s="25"/>
      <c r="I206" s="25"/>
      <c r="J206" s="25"/>
      <c r="K206" s="25"/>
      <c r="L206" s="1" t="str">
        <f t="shared" si="12"/>
        <v/>
      </c>
      <c r="M206" s="1" t="str">
        <f t="shared" si="13"/>
        <v/>
      </c>
      <c r="N206" s="26"/>
      <c r="S206" s="27" t="str">
        <f t="shared" si="14"/>
        <v/>
      </c>
      <c r="T206" s="28" t="str">
        <f t="shared" si="10"/>
        <v/>
      </c>
      <c r="V206" t="str">
        <f t="shared" si="11"/>
        <v/>
      </c>
    </row>
    <row r="207" spans="1:22">
      <c r="A207" s="6"/>
      <c r="H207" s="25"/>
      <c r="I207" s="25"/>
      <c r="J207" s="25"/>
      <c r="K207" s="25"/>
      <c r="L207" s="1" t="str">
        <f t="shared" si="12"/>
        <v/>
      </c>
      <c r="M207" s="1" t="str">
        <f t="shared" si="13"/>
        <v/>
      </c>
      <c r="N207" s="26"/>
      <c r="S207" s="27" t="str">
        <f t="shared" si="14"/>
        <v/>
      </c>
      <c r="T207" s="28" t="str">
        <f t="shared" si="10"/>
        <v/>
      </c>
      <c r="V207" t="str">
        <f t="shared" si="11"/>
        <v/>
      </c>
    </row>
    <row r="208" spans="1:22">
      <c r="A208" s="6"/>
      <c r="H208" s="25"/>
      <c r="I208" s="25"/>
      <c r="J208" s="25"/>
      <c r="K208" s="25"/>
      <c r="L208" s="1" t="str">
        <f t="shared" si="12"/>
        <v/>
      </c>
      <c r="M208" s="1" t="str">
        <f t="shared" si="13"/>
        <v/>
      </c>
      <c r="N208" s="26"/>
      <c r="S208" s="27" t="str">
        <f t="shared" si="14"/>
        <v/>
      </c>
      <c r="T208" s="28" t="str">
        <f t="shared" si="10"/>
        <v/>
      </c>
      <c r="V208" t="str">
        <f t="shared" si="11"/>
        <v/>
      </c>
    </row>
    <row r="209" spans="1:22">
      <c r="A209" s="6"/>
      <c r="H209" s="25"/>
      <c r="I209" s="25"/>
      <c r="J209" s="25"/>
      <c r="K209" s="25"/>
      <c r="L209" s="1" t="str">
        <f t="shared" si="12"/>
        <v/>
      </c>
      <c r="M209" s="1" t="str">
        <f t="shared" si="13"/>
        <v/>
      </c>
      <c r="N209" s="26"/>
      <c r="S209" s="27" t="str">
        <f t="shared" si="14"/>
        <v/>
      </c>
      <c r="T209" s="28" t="str">
        <f t="shared" si="10"/>
        <v/>
      </c>
      <c r="V209" t="str">
        <f t="shared" si="11"/>
        <v/>
      </c>
    </row>
    <row r="210" spans="1:22">
      <c r="A210" s="6"/>
      <c r="H210" s="25"/>
      <c r="I210" s="25"/>
      <c r="J210" s="25"/>
      <c r="K210" s="25"/>
      <c r="L210" s="1" t="str">
        <f t="shared" si="12"/>
        <v/>
      </c>
      <c r="M210" s="1" t="str">
        <f t="shared" si="13"/>
        <v/>
      </c>
      <c r="N210" s="26"/>
      <c r="S210" s="27" t="str">
        <f t="shared" si="14"/>
        <v/>
      </c>
      <c r="T210" s="28" t="str">
        <f t="shared" si="10"/>
        <v/>
      </c>
      <c r="V210" t="str">
        <f t="shared" si="11"/>
        <v/>
      </c>
    </row>
    <row r="211" spans="1:22">
      <c r="A211" s="6"/>
      <c r="H211" s="25"/>
      <c r="I211" s="25"/>
      <c r="J211" s="25"/>
      <c r="K211" s="25"/>
      <c r="L211" s="1" t="str">
        <f t="shared" si="12"/>
        <v/>
      </c>
      <c r="M211" s="1" t="str">
        <f t="shared" si="13"/>
        <v/>
      </c>
      <c r="N211" s="26"/>
      <c r="S211" s="27" t="str">
        <f t="shared" si="14"/>
        <v/>
      </c>
      <c r="T211" s="28" t="str">
        <f t="shared" si="10"/>
        <v/>
      </c>
      <c r="V211" t="str">
        <f t="shared" si="11"/>
        <v/>
      </c>
    </row>
    <row r="212" spans="1:22">
      <c r="A212" s="6"/>
      <c r="H212" s="25"/>
      <c r="I212" s="25"/>
      <c r="J212" s="25"/>
      <c r="K212" s="25"/>
      <c r="L212" s="1" t="str">
        <f t="shared" si="12"/>
        <v/>
      </c>
      <c r="M212" s="1" t="str">
        <f t="shared" si="13"/>
        <v/>
      </c>
      <c r="N212" s="26"/>
      <c r="S212" s="27" t="str">
        <f t="shared" si="14"/>
        <v/>
      </c>
      <c r="T212" s="28" t="str">
        <f t="shared" ref="T212:T275" si="15">IF($A212="","",IF(OR($S212="", $S212&lt;=0, $L212=""),"",ROUND($L212*24*$S212,2)))</f>
        <v/>
      </c>
      <c r="V212" t="str">
        <f t="shared" ref="V212:V275" si="16">IF($A212="","",IF(OR(YEAR($A212)&lt;2020,YEAR($A212)&gt;2030),"Podezřelé datum",IF(OR($F212="",$G212=""),"Chybí letiště",IF(OR($H212="",$I212="",$J212="",$K212=""),"Chybí čas",IF(OR($H212&gt;$I212,$I212&gt;$J212,$J212&gt;$K212),"Časy mimo pořadí",IF($M212&gt;$L212,"Air &gt; Block",IF(OR($S212="", $S212&lt;=0),"Chybí sazba","OK")))))))</f>
        <v/>
      </c>
    </row>
    <row r="213" spans="1:22">
      <c r="A213" s="6"/>
      <c r="H213" s="25"/>
      <c r="I213" s="25"/>
      <c r="J213" s="25"/>
      <c r="K213" s="25"/>
      <c r="L213" s="1" t="str">
        <f t="shared" si="12"/>
        <v/>
      </c>
      <c r="M213" s="1" t="str">
        <f t="shared" si="13"/>
        <v/>
      </c>
      <c r="N213" s="26"/>
      <c r="S213" s="27" t="str">
        <f t="shared" si="14"/>
        <v/>
      </c>
      <c r="T213" s="28" t="str">
        <f t="shared" si="15"/>
        <v/>
      </c>
      <c r="V213" t="str">
        <f t="shared" si="16"/>
        <v/>
      </c>
    </row>
    <row r="214" spans="1:22">
      <c r="A214" s="6"/>
      <c r="H214" s="25"/>
      <c r="I214" s="25"/>
      <c r="J214" s="25"/>
      <c r="K214" s="25"/>
      <c r="L214" s="1" t="str">
        <f t="shared" si="12"/>
        <v/>
      </c>
      <c r="M214" s="1" t="str">
        <f t="shared" si="13"/>
        <v/>
      </c>
      <c r="N214" s="26"/>
      <c r="S214" s="27" t="str">
        <f t="shared" si="14"/>
        <v/>
      </c>
      <c r="T214" s="28" t="str">
        <f t="shared" si="15"/>
        <v/>
      </c>
      <c r="V214" t="str">
        <f t="shared" si="16"/>
        <v/>
      </c>
    </row>
    <row r="215" spans="1:22">
      <c r="A215" s="6"/>
      <c r="H215" s="25"/>
      <c r="I215" s="25"/>
      <c r="J215" s="25"/>
      <c r="K215" s="25"/>
      <c r="L215" s="1" t="str">
        <f t="shared" si="12"/>
        <v/>
      </c>
      <c r="M215" s="1" t="str">
        <f t="shared" si="13"/>
        <v/>
      </c>
      <c r="N215" s="26"/>
      <c r="S215" s="27" t="str">
        <f t="shared" si="14"/>
        <v/>
      </c>
      <c r="T215" s="28" t="str">
        <f t="shared" si="15"/>
        <v/>
      </c>
      <c r="V215" t="str">
        <f t="shared" si="16"/>
        <v/>
      </c>
    </row>
    <row r="216" spans="1:22">
      <c r="A216" s="6"/>
      <c r="H216" s="25"/>
      <c r="I216" s="25"/>
      <c r="J216" s="25"/>
      <c r="K216" s="25"/>
      <c r="L216" s="1" t="str">
        <f t="shared" si="12"/>
        <v/>
      </c>
      <c r="M216" s="1" t="str">
        <f t="shared" si="13"/>
        <v/>
      </c>
      <c r="N216" s="26"/>
      <c r="S216" s="27" t="str">
        <f t="shared" si="14"/>
        <v/>
      </c>
      <c r="T216" s="28" t="str">
        <f t="shared" si="15"/>
        <v/>
      </c>
      <c r="V216" t="str">
        <f t="shared" si="16"/>
        <v/>
      </c>
    </row>
    <row r="217" spans="1:22">
      <c r="A217" s="6"/>
      <c r="H217" s="25"/>
      <c r="I217" s="25"/>
      <c r="J217" s="25"/>
      <c r="K217" s="25"/>
      <c r="L217" s="1" t="str">
        <f t="shared" si="12"/>
        <v/>
      </c>
      <c r="M217" s="1" t="str">
        <f t="shared" si="13"/>
        <v/>
      </c>
      <c r="N217" s="26"/>
      <c r="S217" s="27" t="str">
        <f t="shared" si="14"/>
        <v/>
      </c>
      <c r="T217" s="28" t="str">
        <f t="shared" si="15"/>
        <v/>
      </c>
      <c r="V217" t="str">
        <f t="shared" si="16"/>
        <v/>
      </c>
    </row>
    <row r="218" spans="1:22">
      <c r="A218" s="6"/>
      <c r="H218" s="25"/>
      <c r="I218" s="25"/>
      <c r="J218" s="25"/>
      <c r="K218" s="25"/>
      <c r="L218" s="1" t="str">
        <f t="shared" si="12"/>
        <v/>
      </c>
      <c r="M218" s="1" t="str">
        <f t="shared" si="13"/>
        <v/>
      </c>
      <c r="N218" s="26"/>
      <c r="S218" s="27" t="str">
        <f t="shared" si="14"/>
        <v/>
      </c>
      <c r="T218" s="28" t="str">
        <f t="shared" si="15"/>
        <v/>
      </c>
      <c r="V218" t="str">
        <f t="shared" si="16"/>
        <v/>
      </c>
    </row>
    <row r="219" spans="1:22">
      <c r="A219" s="6"/>
      <c r="H219" s="25"/>
      <c r="I219" s="25"/>
      <c r="J219" s="25"/>
      <c r="K219" s="25"/>
      <c r="L219" s="1" t="str">
        <f t="shared" si="12"/>
        <v/>
      </c>
      <c r="M219" s="1" t="str">
        <f t="shared" si="13"/>
        <v/>
      </c>
      <c r="N219" s="26"/>
      <c r="S219" s="27" t="str">
        <f t="shared" si="14"/>
        <v/>
      </c>
      <c r="T219" s="28" t="str">
        <f t="shared" si="15"/>
        <v/>
      </c>
      <c r="V219" t="str">
        <f t="shared" si="16"/>
        <v/>
      </c>
    </row>
    <row r="220" spans="1:22">
      <c r="A220" s="6"/>
      <c r="H220" s="25"/>
      <c r="I220" s="25"/>
      <c r="J220" s="25"/>
      <c r="K220" s="25"/>
      <c r="L220" s="1" t="str">
        <f t="shared" si="12"/>
        <v/>
      </c>
      <c r="M220" s="1" t="str">
        <f t="shared" si="13"/>
        <v/>
      </c>
      <c r="N220" s="26"/>
      <c r="S220" s="27" t="str">
        <f t="shared" si="14"/>
        <v/>
      </c>
      <c r="T220" s="28" t="str">
        <f t="shared" si="15"/>
        <v/>
      </c>
      <c r="V220" t="str">
        <f t="shared" si="16"/>
        <v/>
      </c>
    </row>
    <row r="221" spans="1:22">
      <c r="A221" s="6"/>
      <c r="H221" s="25"/>
      <c r="I221" s="25"/>
      <c r="J221" s="25"/>
      <c r="K221" s="25"/>
      <c r="L221" s="1" t="str">
        <f t="shared" si="12"/>
        <v/>
      </c>
      <c r="M221" s="1" t="str">
        <f t="shared" si="13"/>
        <v/>
      </c>
      <c r="N221" s="26"/>
      <c r="S221" s="27" t="str">
        <f t="shared" si="14"/>
        <v/>
      </c>
      <c r="T221" s="28" t="str">
        <f t="shared" si="15"/>
        <v/>
      </c>
      <c r="V221" t="str">
        <f t="shared" si="16"/>
        <v/>
      </c>
    </row>
    <row r="222" spans="1:22">
      <c r="A222" s="6"/>
      <c r="H222" s="25"/>
      <c r="I222" s="25"/>
      <c r="J222" s="25"/>
      <c r="K222" s="25"/>
      <c r="L222" s="1" t="str">
        <f t="shared" si="12"/>
        <v/>
      </c>
      <c r="M222" s="1" t="str">
        <f t="shared" si="13"/>
        <v/>
      </c>
      <c r="N222" s="26"/>
      <c r="S222" s="27" t="str">
        <f t="shared" si="14"/>
        <v/>
      </c>
      <c r="T222" s="28" t="str">
        <f t="shared" si="15"/>
        <v/>
      </c>
      <c r="V222" t="str">
        <f t="shared" si="16"/>
        <v/>
      </c>
    </row>
    <row r="223" spans="1:22">
      <c r="A223" s="6"/>
      <c r="H223" s="25"/>
      <c r="I223" s="25"/>
      <c r="J223" s="25"/>
      <c r="K223" s="25"/>
      <c r="L223" s="1" t="str">
        <f t="shared" si="12"/>
        <v/>
      </c>
      <c r="M223" s="1" t="str">
        <f t="shared" si="13"/>
        <v/>
      </c>
      <c r="N223" s="26"/>
      <c r="S223" s="27" t="str">
        <f t="shared" si="14"/>
        <v/>
      </c>
      <c r="T223" s="28" t="str">
        <f t="shared" si="15"/>
        <v/>
      </c>
      <c r="V223" t="str">
        <f t="shared" si="16"/>
        <v/>
      </c>
    </row>
    <row r="224" spans="1:22">
      <c r="A224" s="6"/>
      <c r="H224" s="25"/>
      <c r="I224" s="25"/>
      <c r="J224" s="25"/>
      <c r="K224" s="25"/>
      <c r="L224" s="1" t="str">
        <f t="shared" si="12"/>
        <v/>
      </c>
      <c r="M224" s="1" t="str">
        <f t="shared" si="13"/>
        <v/>
      </c>
      <c r="N224" s="26"/>
      <c r="S224" s="27" t="str">
        <f t="shared" si="14"/>
        <v/>
      </c>
      <c r="T224" s="28" t="str">
        <f t="shared" si="15"/>
        <v/>
      </c>
      <c r="V224" t="str">
        <f t="shared" si="16"/>
        <v/>
      </c>
    </row>
    <row r="225" spans="1:22">
      <c r="A225" s="6"/>
      <c r="H225" s="25"/>
      <c r="I225" s="25"/>
      <c r="J225" s="25"/>
      <c r="K225" s="25"/>
      <c r="L225" s="1" t="str">
        <f t="shared" si="12"/>
        <v/>
      </c>
      <c r="M225" s="1" t="str">
        <f t="shared" si="13"/>
        <v/>
      </c>
      <c r="N225" s="26"/>
      <c r="S225" s="27" t="str">
        <f t="shared" si="14"/>
        <v/>
      </c>
      <c r="T225" s="28" t="str">
        <f t="shared" si="15"/>
        <v/>
      </c>
      <c r="V225" t="str">
        <f t="shared" si="16"/>
        <v/>
      </c>
    </row>
    <row r="226" spans="1:22">
      <c r="A226" s="6"/>
      <c r="H226" s="25"/>
      <c r="I226" s="25"/>
      <c r="J226" s="25"/>
      <c r="K226" s="25"/>
      <c r="L226" s="1" t="str">
        <f t="shared" si="12"/>
        <v/>
      </c>
      <c r="M226" s="1" t="str">
        <f t="shared" si="13"/>
        <v/>
      </c>
      <c r="N226" s="26"/>
      <c r="S226" s="27" t="str">
        <f t="shared" si="14"/>
        <v/>
      </c>
      <c r="T226" s="28" t="str">
        <f t="shared" si="15"/>
        <v/>
      </c>
      <c r="V226" t="str">
        <f t="shared" si="16"/>
        <v/>
      </c>
    </row>
    <row r="227" spans="1:22">
      <c r="A227" s="6"/>
      <c r="H227" s="25"/>
      <c r="I227" s="25"/>
      <c r="J227" s="25"/>
      <c r="K227" s="25"/>
      <c r="L227" s="1" t="str">
        <f t="shared" si="12"/>
        <v/>
      </c>
      <c r="M227" s="1" t="str">
        <f t="shared" si="13"/>
        <v/>
      </c>
      <c r="N227" s="26"/>
      <c r="S227" s="27" t="str">
        <f t="shared" si="14"/>
        <v/>
      </c>
      <c r="T227" s="28" t="str">
        <f t="shared" si="15"/>
        <v/>
      </c>
      <c r="V227" t="str">
        <f t="shared" si="16"/>
        <v/>
      </c>
    </row>
    <row r="228" spans="1:22">
      <c r="A228" s="6"/>
      <c r="H228" s="25"/>
      <c r="I228" s="25"/>
      <c r="J228" s="25"/>
      <c r="K228" s="25"/>
      <c r="L228" s="1" t="str">
        <f t="shared" si="12"/>
        <v/>
      </c>
      <c r="M228" s="1" t="str">
        <f t="shared" si="13"/>
        <v/>
      </c>
      <c r="N228" s="26"/>
      <c r="S228" s="27" t="str">
        <f t="shared" si="14"/>
        <v/>
      </c>
      <c r="T228" s="28" t="str">
        <f t="shared" si="15"/>
        <v/>
      </c>
      <c r="V228" t="str">
        <f t="shared" si="16"/>
        <v/>
      </c>
    </row>
    <row r="229" spans="1:22">
      <c r="A229" s="6"/>
      <c r="H229" s="25"/>
      <c r="I229" s="25"/>
      <c r="J229" s="25"/>
      <c r="K229" s="25"/>
      <c r="L229" s="1" t="str">
        <f t="shared" si="12"/>
        <v/>
      </c>
      <c r="M229" s="1" t="str">
        <f t="shared" si="13"/>
        <v/>
      </c>
      <c r="N229" s="26"/>
      <c r="S229" s="27" t="str">
        <f t="shared" si="14"/>
        <v/>
      </c>
      <c r="T229" s="28" t="str">
        <f t="shared" si="15"/>
        <v/>
      </c>
      <c r="V229" t="str">
        <f t="shared" si="16"/>
        <v/>
      </c>
    </row>
    <row r="230" spans="1:22">
      <c r="A230" s="6"/>
      <c r="H230" s="25"/>
      <c r="I230" s="25"/>
      <c r="J230" s="25"/>
      <c r="K230" s="25"/>
      <c r="L230" s="1" t="str">
        <f t="shared" si="12"/>
        <v/>
      </c>
      <c r="M230" s="1" t="str">
        <f t="shared" si="13"/>
        <v/>
      </c>
      <c r="N230" s="26"/>
      <c r="S230" s="27" t="str">
        <f t="shared" si="14"/>
        <v/>
      </c>
      <c r="T230" s="28" t="str">
        <f t="shared" si="15"/>
        <v/>
      </c>
      <c r="V230" t="str">
        <f t="shared" si="16"/>
        <v/>
      </c>
    </row>
    <row r="231" spans="1:22">
      <c r="A231" s="6"/>
      <c r="H231" s="25"/>
      <c r="I231" s="25"/>
      <c r="J231" s="25"/>
      <c r="K231" s="25"/>
      <c r="L231" s="1" t="str">
        <f t="shared" si="12"/>
        <v/>
      </c>
      <c r="M231" s="1" t="str">
        <f t="shared" si="13"/>
        <v/>
      </c>
      <c r="N231" s="26"/>
      <c r="S231" s="27" t="str">
        <f t="shared" si="14"/>
        <v/>
      </c>
      <c r="T231" s="28" t="str">
        <f t="shared" si="15"/>
        <v/>
      </c>
      <c r="V231" t="str">
        <f t="shared" si="16"/>
        <v/>
      </c>
    </row>
    <row r="232" spans="1:22">
      <c r="A232" s="6"/>
      <c r="H232" s="25"/>
      <c r="I232" s="25"/>
      <c r="J232" s="25"/>
      <c r="K232" s="25"/>
      <c r="L232" s="1" t="str">
        <f t="shared" si="12"/>
        <v/>
      </c>
      <c r="M232" s="1" t="str">
        <f t="shared" si="13"/>
        <v/>
      </c>
      <c r="N232" s="26"/>
      <c r="S232" s="27" t="str">
        <f t="shared" si="14"/>
        <v/>
      </c>
      <c r="T232" s="28" t="str">
        <f t="shared" si="15"/>
        <v/>
      </c>
      <c r="V232" t="str">
        <f t="shared" si="16"/>
        <v/>
      </c>
    </row>
    <row r="233" spans="1:22">
      <c r="A233" s="6"/>
      <c r="H233" s="25"/>
      <c r="I233" s="25"/>
      <c r="J233" s="25"/>
      <c r="K233" s="25"/>
      <c r="L233" s="1" t="str">
        <f t="shared" si="12"/>
        <v/>
      </c>
      <c r="M233" s="1" t="str">
        <f t="shared" si="13"/>
        <v/>
      </c>
      <c r="N233" s="26"/>
      <c r="S233" s="27" t="str">
        <f t="shared" si="14"/>
        <v/>
      </c>
      <c r="T233" s="28" t="str">
        <f t="shared" si="15"/>
        <v/>
      </c>
      <c r="V233" t="str">
        <f t="shared" si="16"/>
        <v/>
      </c>
    </row>
    <row r="234" spans="1:22">
      <c r="A234" s="6"/>
      <c r="H234" s="25"/>
      <c r="I234" s="25"/>
      <c r="J234" s="25"/>
      <c r="K234" s="25"/>
      <c r="L234" s="1" t="str">
        <f t="shared" si="12"/>
        <v/>
      </c>
      <c r="M234" s="1" t="str">
        <f t="shared" si="13"/>
        <v/>
      </c>
      <c r="N234" s="26"/>
      <c r="S234" s="27" t="str">
        <f t="shared" si="14"/>
        <v/>
      </c>
      <c r="T234" s="28" t="str">
        <f t="shared" si="15"/>
        <v/>
      </c>
      <c r="V234" t="str">
        <f t="shared" si="16"/>
        <v/>
      </c>
    </row>
    <row r="235" spans="1:22">
      <c r="A235" s="6"/>
      <c r="H235" s="25"/>
      <c r="I235" s="25"/>
      <c r="J235" s="25"/>
      <c r="K235" s="25"/>
      <c r="L235" s="1" t="str">
        <f t="shared" si="12"/>
        <v/>
      </c>
      <c r="M235" s="1" t="str">
        <f t="shared" si="13"/>
        <v/>
      </c>
      <c r="N235" s="26"/>
      <c r="S235" s="27" t="str">
        <f t="shared" si="14"/>
        <v/>
      </c>
      <c r="T235" s="28" t="str">
        <f t="shared" si="15"/>
        <v/>
      </c>
      <c r="V235" t="str">
        <f t="shared" si="16"/>
        <v/>
      </c>
    </row>
    <row r="236" spans="1:22">
      <c r="A236" s="6"/>
      <c r="H236" s="25"/>
      <c r="I236" s="25"/>
      <c r="J236" s="25"/>
      <c r="K236" s="25"/>
      <c r="L236" s="1" t="str">
        <f t="shared" si="12"/>
        <v/>
      </c>
      <c r="M236" s="1" t="str">
        <f t="shared" si="13"/>
        <v/>
      </c>
      <c r="N236" s="26"/>
      <c r="S236" s="27" t="str">
        <f t="shared" si="14"/>
        <v/>
      </c>
      <c r="T236" s="28" t="str">
        <f t="shared" si="15"/>
        <v/>
      </c>
      <c r="V236" t="str">
        <f t="shared" si="16"/>
        <v/>
      </c>
    </row>
    <row r="237" spans="1:22">
      <c r="A237" s="6"/>
      <c r="H237" s="25"/>
      <c r="I237" s="25"/>
      <c r="J237" s="25"/>
      <c r="K237" s="25"/>
      <c r="L237" s="1" t="str">
        <f t="shared" si="12"/>
        <v/>
      </c>
      <c r="M237" s="1" t="str">
        <f t="shared" si="13"/>
        <v/>
      </c>
      <c r="N237" s="26"/>
      <c r="S237" s="27" t="str">
        <f t="shared" si="14"/>
        <v/>
      </c>
      <c r="T237" s="28" t="str">
        <f t="shared" si="15"/>
        <v/>
      </c>
      <c r="V237" t="str">
        <f t="shared" si="16"/>
        <v/>
      </c>
    </row>
    <row r="238" spans="1:22">
      <c r="A238" s="6"/>
      <c r="H238" s="25"/>
      <c r="I238" s="25"/>
      <c r="J238" s="25"/>
      <c r="K238" s="25"/>
      <c r="L238" s="1" t="str">
        <f t="shared" si="12"/>
        <v/>
      </c>
      <c r="M238" s="1" t="str">
        <f t="shared" si="13"/>
        <v/>
      </c>
      <c r="N238" s="26"/>
      <c r="S238" s="27" t="str">
        <f t="shared" si="14"/>
        <v/>
      </c>
      <c r="T238" s="28" t="str">
        <f t="shared" si="15"/>
        <v/>
      </c>
      <c r="V238" t="str">
        <f t="shared" si="16"/>
        <v/>
      </c>
    </row>
    <row r="239" spans="1:22">
      <c r="A239" s="6"/>
      <c r="H239" s="25"/>
      <c r="I239" s="25"/>
      <c r="J239" s="25"/>
      <c r="K239" s="25"/>
      <c r="L239" s="1" t="str">
        <f t="shared" si="12"/>
        <v/>
      </c>
      <c r="M239" s="1" t="str">
        <f t="shared" si="13"/>
        <v/>
      </c>
      <c r="N239" s="26"/>
      <c r="S239" s="27" t="str">
        <f t="shared" si="14"/>
        <v/>
      </c>
      <c r="T239" s="28" t="str">
        <f t="shared" si="15"/>
        <v/>
      </c>
      <c r="V239" t="str">
        <f t="shared" si="16"/>
        <v/>
      </c>
    </row>
    <row r="240" spans="1:22">
      <c r="A240" s="6"/>
      <c r="H240" s="25"/>
      <c r="I240" s="25"/>
      <c r="J240" s="25"/>
      <c r="K240" s="25"/>
      <c r="L240" s="1" t="str">
        <f t="shared" si="12"/>
        <v/>
      </c>
      <c r="M240" s="1" t="str">
        <f t="shared" si="13"/>
        <v/>
      </c>
      <c r="N240" s="26"/>
      <c r="S240" s="27" t="str">
        <f t="shared" si="14"/>
        <v/>
      </c>
      <c r="T240" s="28" t="str">
        <f t="shared" si="15"/>
        <v/>
      </c>
      <c r="V240" t="str">
        <f t="shared" si="16"/>
        <v/>
      </c>
    </row>
    <row r="241" spans="1:22">
      <c r="A241" s="6"/>
      <c r="H241" s="25"/>
      <c r="I241" s="25"/>
      <c r="J241" s="25"/>
      <c r="K241" s="25"/>
      <c r="L241" s="1" t="str">
        <f t="shared" si="12"/>
        <v/>
      </c>
      <c r="M241" s="1" t="str">
        <f t="shared" si="13"/>
        <v/>
      </c>
      <c r="N241" s="26"/>
      <c r="S241" s="27" t="str">
        <f t="shared" si="14"/>
        <v/>
      </c>
      <c r="T241" s="28" t="str">
        <f t="shared" si="15"/>
        <v/>
      </c>
      <c r="V241" t="str">
        <f t="shared" si="16"/>
        <v/>
      </c>
    </row>
    <row r="242" spans="1:22">
      <c r="A242" s="6"/>
      <c r="H242" s="25"/>
      <c r="I242" s="25"/>
      <c r="J242" s="25"/>
      <c r="K242" s="25"/>
      <c r="L242" s="1" t="str">
        <f t="shared" si="12"/>
        <v/>
      </c>
      <c r="M242" s="1" t="str">
        <f t="shared" si="13"/>
        <v/>
      </c>
      <c r="N242" s="26"/>
      <c r="S242" s="27" t="str">
        <f t="shared" si="14"/>
        <v/>
      </c>
      <c r="T242" s="28" t="str">
        <f t="shared" si="15"/>
        <v/>
      </c>
      <c r="V242" t="str">
        <f t="shared" si="16"/>
        <v/>
      </c>
    </row>
    <row r="243" spans="1:22">
      <c r="A243" s="6"/>
      <c r="H243" s="25"/>
      <c r="I243" s="25"/>
      <c r="J243" s="25"/>
      <c r="K243" s="25"/>
      <c r="L243" s="1" t="str">
        <f t="shared" si="12"/>
        <v/>
      </c>
      <c r="M243" s="1" t="str">
        <f t="shared" si="13"/>
        <v/>
      </c>
      <c r="N243" s="26"/>
      <c r="S243" s="27" t="str">
        <f t="shared" si="14"/>
        <v/>
      </c>
      <c r="T243" s="28" t="str">
        <f t="shared" si="15"/>
        <v/>
      </c>
      <c r="V243" t="str">
        <f t="shared" si="16"/>
        <v/>
      </c>
    </row>
    <row r="244" spans="1:22">
      <c r="A244" s="6"/>
      <c r="H244" s="25"/>
      <c r="I244" s="25"/>
      <c r="J244" s="25"/>
      <c r="K244" s="25"/>
      <c r="L244" s="1" t="str">
        <f t="shared" si="12"/>
        <v/>
      </c>
      <c r="M244" s="1" t="str">
        <f t="shared" si="13"/>
        <v/>
      </c>
      <c r="N244" s="26"/>
      <c r="S244" s="27" t="str">
        <f t="shared" si="14"/>
        <v/>
      </c>
      <c r="T244" s="28" t="str">
        <f t="shared" si="15"/>
        <v/>
      </c>
      <c r="V244" t="str">
        <f t="shared" si="16"/>
        <v/>
      </c>
    </row>
    <row r="245" spans="1:22">
      <c r="A245" s="6"/>
      <c r="H245" s="25"/>
      <c r="I245" s="25"/>
      <c r="J245" s="25"/>
      <c r="K245" s="25"/>
      <c r="L245" s="1" t="str">
        <f t="shared" si="12"/>
        <v/>
      </c>
      <c r="M245" s="1" t="str">
        <f t="shared" si="13"/>
        <v/>
      </c>
      <c r="N245" s="26"/>
      <c r="S245" s="27" t="str">
        <f t="shared" si="14"/>
        <v/>
      </c>
      <c r="T245" s="28" t="str">
        <f t="shared" si="15"/>
        <v/>
      </c>
      <c r="V245" t="str">
        <f t="shared" si="16"/>
        <v/>
      </c>
    </row>
    <row r="246" spans="1:22">
      <c r="A246" s="6"/>
      <c r="H246" s="25"/>
      <c r="I246" s="25"/>
      <c r="J246" s="25"/>
      <c r="K246" s="25"/>
      <c r="L246" s="1" t="str">
        <f t="shared" si="12"/>
        <v/>
      </c>
      <c r="M246" s="1" t="str">
        <f t="shared" si="13"/>
        <v/>
      </c>
      <c r="N246" s="26"/>
      <c r="S246" s="27" t="str">
        <f t="shared" si="14"/>
        <v/>
      </c>
      <c r="T246" s="28" t="str">
        <f t="shared" si="15"/>
        <v/>
      </c>
      <c r="V246" t="str">
        <f t="shared" si="16"/>
        <v/>
      </c>
    </row>
    <row r="247" spans="1:22">
      <c r="A247" s="6"/>
      <c r="H247" s="25"/>
      <c r="I247" s="25"/>
      <c r="J247" s="25"/>
      <c r="K247" s="25"/>
      <c r="L247" s="1" t="str">
        <f t="shared" si="12"/>
        <v/>
      </c>
      <c r="M247" s="1" t="str">
        <f t="shared" si="13"/>
        <v/>
      </c>
      <c r="N247" s="26"/>
      <c r="S247" s="27" t="str">
        <f t="shared" si="14"/>
        <v/>
      </c>
      <c r="T247" s="28" t="str">
        <f t="shared" si="15"/>
        <v/>
      </c>
      <c r="V247" t="str">
        <f t="shared" si="16"/>
        <v/>
      </c>
    </row>
    <row r="248" spans="1:22">
      <c r="A248" s="6"/>
      <c r="H248" s="25"/>
      <c r="I248" s="25"/>
      <c r="J248" s="25"/>
      <c r="K248" s="25"/>
      <c r="L248" s="1" t="str">
        <f t="shared" si="12"/>
        <v/>
      </c>
      <c r="M248" s="1" t="str">
        <f t="shared" si="13"/>
        <v/>
      </c>
      <c r="N248" s="26"/>
      <c r="S248" s="27" t="str">
        <f t="shared" si="14"/>
        <v/>
      </c>
      <c r="T248" s="28" t="str">
        <f t="shared" si="15"/>
        <v/>
      </c>
      <c r="V248" t="str">
        <f t="shared" si="16"/>
        <v/>
      </c>
    </row>
    <row r="249" spans="1:22">
      <c r="A249" s="6"/>
      <c r="H249" s="25"/>
      <c r="I249" s="25"/>
      <c r="J249" s="25"/>
      <c r="K249" s="25"/>
      <c r="L249" s="1" t="str">
        <f t="shared" si="12"/>
        <v/>
      </c>
      <c r="M249" s="1" t="str">
        <f t="shared" si="13"/>
        <v/>
      </c>
      <c r="N249" s="26"/>
      <c r="S249" s="27" t="str">
        <f t="shared" si="14"/>
        <v/>
      </c>
      <c r="T249" s="28" t="str">
        <f t="shared" si="15"/>
        <v/>
      </c>
      <c r="V249" t="str">
        <f t="shared" si="16"/>
        <v/>
      </c>
    </row>
    <row r="250" spans="1:22">
      <c r="A250" s="6"/>
      <c r="H250" s="25"/>
      <c r="I250" s="25"/>
      <c r="J250" s="25"/>
      <c r="K250" s="25"/>
      <c r="L250" s="1" t="str">
        <f t="shared" si="12"/>
        <v/>
      </c>
      <c r="M250" s="1" t="str">
        <f t="shared" si="13"/>
        <v/>
      </c>
      <c r="N250" s="26"/>
      <c r="S250" s="27" t="str">
        <f t="shared" si="14"/>
        <v/>
      </c>
      <c r="T250" s="28" t="str">
        <f t="shared" si="15"/>
        <v/>
      </c>
      <c r="V250" t="str">
        <f t="shared" si="16"/>
        <v/>
      </c>
    </row>
    <row r="251" spans="1:22">
      <c r="A251" s="6"/>
      <c r="H251" s="25"/>
      <c r="I251" s="25"/>
      <c r="J251" s="25"/>
      <c r="K251" s="25"/>
      <c r="L251" s="1" t="str">
        <f t="shared" si="12"/>
        <v/>
      </c>
      <c r="M251" s="1" t="str">
        <f t="shared" si="13"/>
        <v/>
      </c>
      <c r="N251" s="26"/>
      <c r="S251" s="27" t="str">
        <f t="shared" si="14"/>
        <v/>
      </c>
      <c r="T251" s="28" t="str">
        <f t="shared" si="15"/>
        <v/>
      </c>
      <c r="V251" t="str">
        <f t="shared" si="16"/>
        <v/>
      </c>
    </row>
    <row r="252" spans="1:22">
      <c r="A252" s="6"/>
      <c r="H252" s="25"/>
      <c r="I252" s="25"/>
      <c r="J252" s="25"/>
      <c r="K252" s="25"/>
      <c r="L252" s="1" t="str">
        <f t="shared" si="12"/>
        <v/>
      </c>
      <c r="M252" s="1" t="str">
        <f t="shared" si="13"/>
        <v/>
      </c>
      <c r="N252" s="26"/>
      <c r="S252" s="27" t="str">
        <f t="shared" si="14"/>
        <v/>
      </c>
      <c r="T252" s="28" t="str">
        <f t="shared" si="15"/>
        <v/>
      </c>
      <c r="V252" t="str">
        <f t="shared" si="16"/>
        <v/>
      </c>
    </row>
    <row r="253" spans="1:22">
      <c r="A253" s="6"/>
      <c r="H253" s="25"/>
      <c r="I253" s="25"/>
      <c r="J253" s="25"/>
      <c r="K253" s="25"/>
      <c r="L253" s="1" t="str">
        <f t="shared" si="12"/>
        <v/>
      </c>
      <c r="M253" s="1" t="str">
        <f t="shared" si="13"/>
        <v/>
      </c>
      <c r="N253" s="26"/>
      <c r="S253" s="27" t="str">
        <f t="shared" si="14"/>
        <v/>
      </c>
      <c r="T253" s="28" t="str">
        <f t="shared" si="15"/>
        <v/>
      </c>
      <c r="V253" t="str">
        <f t="shared" si="16"/>
        <v/>
      </c>
    </row>
    <row r="254" spans="1:22">
      <c r="A254" s="6"/>
      <c r="H254" s="25"/>
      <c r="I254" s="25"/>
      <c r="J254" s="25"/>
      <c r="K254" s="25"/>
      <c r="L254" s="1" t="str">
        <f t="shared" si="12"/>
        <v/>
      </c>
      <c r="M254" s="1" t="str">
        <f t="shared" si="13"/>
        <v/>
      </c>
      <c r="N254" s="26"/>
      <c r="S254" s="27" t="str">
        <f t="shared" si="14"/>
        <v/>
      </c>
      <c r="T254" s="28" t="str">
        <f t="shared" si="15"/>
        <v/>
      </c>
      <c r="V254" t="str">
        <f t="shared" si="16"/>
        <v/>
      </c>
    </row>
    <row r="255" spans="1:22">
      <c r="A255" s="6"/>
      <c r="H255" s="25"/>
      <c r="I255" s="25"/>
      <c r="J255" s="25"/>
      <c r="K255" s="25"/>
      <c r="L255" s="1" t="str">
        <f t="shared" si="12"/>
        <v/>
      </c>
      <c r="M255" s="1" t="str">
        <f t="shared" si="13"/>
        <v/>
      </c>
      <c r="N255" s="26"/>
      <c r="S255" s="27" t="str">
        <f t="shared" si="14"/>
        <v/>
      </c>
      <c r="T255" s="28" t="str">
        <f t="shared" si="15"/>
        <v/>
      </c>
      <c r="V255" t="str">
        <f t="shared" si="16"/>
        <v/>
      </c>
    </row>
    <row r="256" spans="1:22">
      <c r="A256" s="6"/>
      <c r="H256" s="25"/>
      <c r="I256" s="25"/>
      <c r="J256" s="25"/>
      <c r="K256" s="25"/>
      <c r="L256" s="1" t="str">
        <f t="shared" si="12"/>
        <v/>
      </c>
      <c r="M256" s="1" t="str">
        <f t="shared" si="13"/>
        <v/>
      </c>
      <c r="N256" s="26"/>
      <c r="S256" s="27" t="str">
        <f t="shared" si="14"/>
        <v/>
      </c>
      <c r="T256" s="28" t="str">
        <f t="shared" si="15"/>
        <v/>
      </c>
      <c r="V256" t="str">
        <f t="shared" si="16"/>
        <v/>
      </c>
    </row>
    <row r="257" spans="1:22">
      <c r="A257" s="6"/>
      <c r="H257" s="25"/>
      <c r="I257" s="25"/>
      <c r="J257" s="25"/>
      <c r="K257" s="25"/>
      <c r="L257" s="1" t="str">
        <f t="shared" si="12"/>
        <v/>
      </c>
      <c r="M257" s="1" t="str">
        <f t="shared" si="13"/>
        <v/>
      </c>
      <c r="N257" s="26"/>
      <c r="S257" s="27" t="str">
        <f t="shared" si="14"/>
        <v/>
      </c>
      <c r="T257" s="28" t="str">
        <f t="shared" si="15"/>
        <v/>
      </c>
      <c r="V257" t="str">
        <f t="shared" si="16"/>
        <v/>
      </c>
    </row>
    <row r="258" spans="1:22">
      <c r="A258" s="6"/>
      <c r="H258" s="25"/>
      <c r="I258" s="25"/>
      <c r="J258" s="25"/>
      <c r="K258" s="25"/>
      <c r="L258" s="1" t="str">
        <f t="shared" ref="L258:L321" si="17">IF($A258="","",IF(AND(ISNUMBER($H258),ISNUMBER($K258)),MOD($K258-$H258,1),""))</f>
        <v/>
      </c>
      <c r="M258" s="1" t="str">
        <f t="shared" ref="M258:M321" si="18">IF($A258="","",IF(AND(ISNUMBER($I258),ISNUMBER($J258)),MOD($J258-$I258,1),""))</f>
        <v/>
      </c>
      <c r="N258" s="26"/>
      <c r="S258" s="27" t="str">
        <f t="shared" si="14"/>
        <v/>
      </c>
      <c r="T258" s="28" t="str">
        <f t="shared" si="15"/>
        <v/>
      </c>
      <c r="V258" t="str">
        <f t="shared" si="16"/>
        <v/>
      </c>
    </row>
    <row r="259" spans="1:22">
      <c r="A259" s="6"/>
      <c r="H259" s="25"/>
      <c r="I259" s="25"/>
      <c r="J259" s="25"/>
      <c r="K259" s="25"/>
      <c r="L259" s="1" t="str">
        <f t="shared" si="17"/>
        <v/>
      </c>
      <c r="M259" s="1" t="str">
        <f t="shared" si="18"/>
        <v/>
      </c>
      <c r="N259" s="26"/>
      <c r="S259" s="27" t="str">
        <f t="shared" si="14"/>
        <v/>
      </c>
      <c r="T259" s="28" t="str">
        <f t="shared" si="15"/>
        <v/>
      </c>
      <c r="V259" t="str">
        <f t="shared" si="16"/>
        <v/>
      </c>
    </row>
    <row r="260" spans="1:22">
      <c r="A260" s="6"/>
      <c r="H260" s="25"/>
      <c r="I260" s="25"/>
      <c r="J260" s="25"/>
      <c r="K260" s="25"/>
      <c r="L260" s="1" t="str">
        <f t="shared" si="17"/>
        <v/>
      </c>
      <c r="M260" s="1" t="str">
        <f t="shared" si="18"/>
        <v/>
      </c>
      <c r="N260" s="26"/>
      <c r="S260" s="27" t="str">
        <f t="shared" si="14"/>
        <v/>
      </c>
      <c r="T260" s="28" t="str">
        <f t="shared" si="15"/>
        <v/>
      </c>
      <c r="V260" t="str">
        <f t="shared" si="16"/>
        <v/>
      </c>
    </row>
    <row r="261" spans="1:22">
      <c r="A261" s="6"/>
      <c r="H261" s="25"/>
      <c r="I261" s="25"/>
      <c r="J261" s="25"/>
      <c r="K261" s="25"/>
      <c r="L261" s="1" t="str">
        <f t="shared" si="17"/>
        <v/>
      </c>
      <c r="M261" s="1" t="str">
        <f t="shared" si="18"/>
        <v/>
      </c>
      <c r="N261" s="26"/>
      <c r="S261" s="27" t="str">
        <f t="shared" ref="S261:S324" si="19">IF($C261="","",IF($C261="3344",450,IF($C261="5194",320,IF($C261="6606",290,IF($C261="7430",290,IF($C261="8115",2080,IF($C261="8205",450,IF($C261="8441",260,IF($C261="OK-BIC",3060,IF($C261="OK-BID",3060,IF($C261="OK-BIK",2700,IF($C261="OK-BIL",3060,IF($C261="OK-BIN",3060,IF($C261="OK-BIR",3060,IF($C261="OK-BUG12",2150,IF($C261="OK-CUG23",2370,IF($C261="OK-DAS",5600,IF($C261="OK-DOD",4420,IF($C261="OK-DPH",5000,IF($C261="OK-DUI89",2250,IF($C261="OK-DUI94",4000,IF($C261="OK-EUI10",2250,IF($C261="OK-EUI21",4000,IF($C261="OK-IAF",3060,IF($C261="OK-MPK",3820,IF($C261="OK-NUU90",2080,IF($C261="OK-UUR14",2250,IF($C261="OK-WUS17",3500,IF($C261="OK-XAI04",1860,"")))))))))))))))))))))))))))))</f>
        <v/>
      </c>
      <c r="T261" s="28" t="str">
        <f t="shared" si="15"/>
        <v/>
      </c>
      <c r="V261" t="str">
        <f t="shared" si="16"/>
        <v/>
      </c>
    </row>
    <row r="262" spans="1:22">
      <c r="A262" s="6"/>
      <c r="H262" s="25"/>
      <c r="I262" s="25"/>
      <c r="J262" s="25"/>
      <c r="K262" s="25"/>
      <c r="L262" s="1" t="str">
        <f t="shared" si="17"/>
        <v/>
      </c>
      <c r="M262" s="1" t="str">
        <f t="shared" si="18"/>
        <v/>
      </c>
      <c r="N262" s="26"/>
      <c r="S262" s="27" t="str">
        <f t="shared" si="19"/>
        <v/>
      </c>
      <c r="T262" s="28" t="str">
        <f t="shared" si="15"/>
        <v/>
      </c>
      <c r="V262" t="str">
        <f t="shared" si="16"/>
        <v/>
      </c>
    </row>
    <row r="263" spans="1:22">
      <c r="A263" s="6"/>
      <c r="H263" s="25"/>
      <c r="I263" s="25"/>
      <c r="J263" s="25"/>
      <c r="K263" s="25"/>
      <c r="L263" s="1" t="str">
        <f t="shared" si="17"/>
        <v/>
      </c>
      <c r="M263" s="1" t="str">
        <f t="shared" si="18"/>
        <v/>
      </c>
      <c r="N263" s="26"/>
      <c r="S263" s="27" t="str">
        <f t="shared" si="19"/>
        <v/>
      </c>
      <c r="T263" s="28" t="str">
        <f t="shared" si="15"/>
        <v/>
      </c>
      <c r="V263" t="str">
        <f t="shared" si="16"/>
        <v/>
      </c>
    </row>
    <row r="264" spans="1:22">
      <c r="A264" s="6"/>
      <c r="H264" s="25"/>
      <c r="I264" s="25"/>
      <c r="J264" s="25"/>
      <c r="K264" s="25"/>
      <c r="L264" s="1" t="str">
        <f t="shared" si="17"/>
        <v/>
      </c>
      <c r="M264" s="1" t="str">
        <f t="shared" si="18"/>
        <v/>
      </c>
      <c r="N264" s="26"/>
      <c r="S264" s="27" t="str">
        <f t="shared" si="19"/>
        <v/>
      </c>
      <c r="T264" s="28" t="str">
        <f t="shared" si="15"/>
        <v/>
      </c>
      <c r="V264" t="str">
        <f t="shared" si="16"/>
        <v/>
      </c>
    </row>
    <row r="265" spans="1:22">
      <c r="A265" s="6"/>
      <c r="H265" s="25"/>
      <c r="I265" s="25"/>
      <c r="J265" s="25"/>
      <c r="K265" s="25"/>
      <c r="L265" s="1" t="str">
        <f t="shared" si="17"/>
        <v/>
      </c>
      <c r="M265" s="1" t="str">
        <f t="shared" si="18"/>
        <v/>
      </c>
      <c r="N265" s="26"/>
      <c r="S265" s="27" t="str">
        <f t="shared" si="19"/>
        <v/>
      </c>
      <c r="T265" s="28" t="str">
        <f t="shared" si="15"/>
        <v/>
      </c>
      <c r="V265" t="str">
        <f t="shared" si="16"/>
        <v/>
      </c>
    </row>
    <row r="266" spans="1:22">
      <c r="A266" s="6"/>
      <c r="H266" s="25"/>
      <c r="I266" s="25"/>
      <c r="J266" s="25"/>
      <c r="K266" s="25"/>
      <c r="L266" s="1" t="str">
        <f t="shared" si="17"/>
        <v/>
      </c>
      <c r="M266" s="1" t="str">
        <f t="shared" si="18"/>
        <v/>
      </c>
      <c r="N266" s="26"/>
      <c r="S266" s="27" t="str">
        <f t="shared" si="19"/>
        <v/>
      </c>
      <c r="T266" s="28" t="str">
        <f t="shared" si="15"/>
        <v/>
      </c>
      <c r="V266" t="str">
        <f t="shared" si="16"/>
        <v/>
      </c>
    </row>
    <row r="267" spans="1:22">
      <c r="A267" s="6"/>
      <c r="H267" s="25"/>
      <c r="I267" s="25"/>
      <c r="J267" s="25"/>
      <c r="K267" s="25"/>
      <c r="L267" s="1" t="str">
        <f t="shared" si="17"/>
        <v/>
      </c>
      <c r="M267" s="1" t="str">
        <f t="shared" si="18"/>
        <v/>
      </c>
      <c r="N267" s="26"/>
      <c r="S267" s="27" t="str">
        <f t="shared" si="19"/>
        <v/>
      </c>
      <c r="T267" s="28" t="str">
        <f t="shared" si="15"/>
        <v/>
      </c>
      <c r="V267" t="str">
        <f t="shared" si="16"/>
        <v/>
      </c>
    </row>
    <row r="268" spans="1:22">
      <c r="A268" s="6"/>
      <c r="H268" s="25"/>
      <c r="I268" s="25"/>
      <c r="J268" s="25"/>
      <c r="K268" s="25"/>
      <c r="L268" s="1" t="str">
        <f t="shared" si="17"/>
        <v/>
      </c>
      <c r="M268" s="1" t="str">
        <f t="shared" si="18"/>
        <v/>
      </c>
      <c r="N268" s="26"/>
      <c r="S268" s="27" t="str">
        <f t="shared" si="19"/>
        <v/>
      </c>
      <c r="T268" s="28" t="str">
        <f t="shared" si="15"/>
        <v/>
      </c>
      <c r="V268" t="str">
        <f t="shared" si="16"/>
        <v/>
      </c>
    </row>
    <row r="269" spans="1:22">
      <c r="A269" s="6"/>
      <c r="H269" s="25"/>
      <c r="I269" s="25"/>
      <c r="J269" s="25"/>
      <c r="K269" s="25"/>
      <c r="L269" s="1" t="str">
        <f t="shared" si="17"/>
        <v/>
      </c>
      <c r="M269" s="1" t="str">
        <f t="shared" si="18"/>
        <v/>
      </c>
      <c r="N269" s="26"/>
      <c r="S269" s="27" t="str">
        <f t="shared" si="19"/>
        <v/>
      </c>
      <c r="T269" s="28" t="str">
        <f t="shared" si="15"/>
        <v/>
      </c>
      <c r="V269" t="str">
        <f t="shared" si="16"/>
        <v/>
      </c>
    </row>
    <row r="270" spans="1:22">
      <c r="A270" s="6"/>
      <c r="H270" s="25"/>
      <c r="I270" s="25"/>
      <c r="J270" s="25"/>
      <c r="K270" s="25"/>
      <c r="L270" s="1" t="str">
        <f t="shared" si="17"/>
        <v/>
      </c>
      <c r="M270" s="1" t="str">
        <f t="shared" si="18"/>
        <v/>
      </c>
      <c r="N270" s="26"/>
      <c r="S270" s="27" t="str">
        <f t="shared" si="19"/>
        <v/>
      </c>
      <c r="T270" s="28" t="str">
        <f t="shared" si="15"/>
        <v/>
      </c>
      <c r="V270" t="str">
        <f t="shared" si="16"/>
        <v/>
      </c>
    </row>
    <row r="271" spans="1:22">
      <c r="A271" s="6"/>
      <c r="H271" s="25"/>
      <c r="I271" s="25"/>
      <c r="J271" s="25"/>
      <c r="K271" s="25"/>
      <c r="L271" s="1" t="str">
        <f t="shared" si="17"/>
        <v/>
      </c>
      <c r="M271" s="1" t="str">
        <f t="shared" si="18"/>
        <v/>
      </c>
      <c r="N271" s="26"/>
      <c r="S271" s="27" t="str">
        <f t="shared" si="19"/>
        <v/>
      </c>
      <c r="T271" s="28" t="str">
        <f t="shared" si="15"/>
        <v/>
      </c>
      <c r="V271" t="str">
        <f t="shared" si="16"/>
        <v/>
      </c>
    </row>
    <row r="272" spans="1:22">
      <c r="A272" s="6"/>
      <c r="H272" s="25"/>
      <c r="I272" s="25"/>
      <c r="J272" s="25"/>
      <c r="K272" s="25"/>
      <c r="L272" s="1" t="str">
        <f t="shared" si="17"/>
        <v/>
      </c>
      <c r="M272" s="1" t="str">
        <f t="shared" si="18"/>
        <v/>
      </c>
      <c r="N272" s="26"/>
      <c r="S272" s="27" t="str">
        <f t="shared" si="19"/>
        <v/>
      </c>
      <c r="T272" s="28" t="str">
        <f t="shared" si="15"/>
        <v/>
      </c>
      <c r="V272" t="str">
        <f t="shared" si="16"/>
        <v/>
      </c>
    </row>
    <row r="273" spans="1:22">
      <c r="A273" s="6"/>
      <c r="H273" s="25"/>
      <c r="I273" s="25"/>
      <c r="J273" s="25"/>
      <c r="K273" s="25"/>
      <c r="L273" s="1" t="str">
        <f t="shared" si="17"/>
        <v/>
      </c>
      <c r="M273" s="1" t="str">
        <f t="shared" si="18"/>
        <v/>
      </c>
      <c r="N273" s="26"/>
      <c r="S273" s="27" t="str">
        <f t="shared" si="19"/>
        <v/>
      </c>
      <c r="T273" s="28" t="str">
        <f t="shared" si="15"/>
        <v/>
      </c>
      <c r="V273" t="str">
        <f t="shared" si="16"/>
        <v/>
      </c>
    </row>
    <row r="274" spans="1:22">
      <c r="A274" s="6"/>
      <c r="H274" s="25"/>
      <c r="I274" s="25"/>
      <c r="J274" s="25"/>
      <c r="K274" s="25"/>
      <c r="L274" s="1" t="str">
        <f t="shared" si="17"/>
        <v/>
      </c>
      <c r="M274" s="1" t="str">
        <f t="shared" si="18"/>
        <v/>
      </c>
      <c r="N274" s="26"/>
      <c r="S274" s="27" t="str">
        <f t="shared" si="19"/>
        <v/>
      </c>
      <c r="T274" s="28" t="str">
        <f t="shared" si="15"/>
        <v/>
      </c>
      <c r="V274" t="str">
        <f t="shared" si="16"/>
        <v/>
      </c>
    </row>
    <row r="275" spans="1:22">
      <c r="A275" s="6"/>
      <c r="H275" s="25"/>
      <c r="I275" s="25"/>
      <c r="J275" s="25"/>
      <c r="K275" s="25"/>
      <c r="L275" s="1" t="str">
        <f t="shared" si="17"/>
        <v/>
      </c>
      <c r="M275" s="1" t="str">
        <f t="shared" si="18"/>
        <v/>
      </c>
      <c r="N275" s="26"/>
      <c r="S275" s="27" t="str">
        <f t="shared" si="19"/>
        <v/>
      </c>
      <c r="T275" s="28" t="str">
        <f t="shared" si="15"/>
        <v/>
      </c>
      <c r="V275" t="str">
        <f t="shared" si="16"/>
        <v/>
      </c>
    </row>
    <row r="276" spans="1:22">
      <c r="A276" s="6"/>
      <c r="H276" s="25"/>
      <c r="I276" s="25"/>
      <c r="J276" s="25"/>
      <c r="K276" s="25"/>
      <c r="L276" s="1" t="str">
        <f t="shared" si="17"/>
        <v/>
      </c>
      <c r="M276" s="1" t="str">
        <f t="shared" si="18"/>
        <v/>
      </c>
      <c r="N276" s="26"/>
      <c r="S276" s="27" t="str">
        <f t="shared" si="19"/>
        <v/>
      </c>
      <c r="T276" s="28" t="str">
        <f t="shared" ref="T276:T339" si="20">IF($A276="","",IF(OR($S276="", $S276&lt;=0, $L276=""),"",ROUND($L276*24*$S276,2)))</f>
        <v/>
      </c>
      <c r="V276" t="str">
        <f t="shared" ref="V276:V339" si="21">IF($A276="","",IF(OR(YEAR($A276)&lt;2020,YEAR($A276)&gt;2030),"Podezřelé datum",IF(OR($F276="",$G276=""),"Chybí letiště",IF(OR($H276="",$I276="",$J276="",$K276=""),"Chybí čas",IF(OR($H276&gt;$I276,$I276&gt;$J276,$J276&gt;$K276),"Časy mimo pořadí",IF($M276&gt;$L276,"Air &gt; Block",IF(OR($S276="", $S276&lt;=0),"Chybí sazba","OK")))))))</f>
        <v/>
      </c>
    </row>
    <row r="277" spans="1:22">
      <c r="A277" s="6"/>
      <c r="H277" s="25"/>
      <c r="I277" s="25"/>
      <c r="J277" s="25"/>
      <c r="K277" s="25"/>
      <c r="L277" s="1" t="str">
        <f t="shared" si="17"/>
        <v/>
      </c>
      <c r="M277" s="1" t="str">
        <f t="shared" si="18"/>
        <v/>
      </c>
      <c r="N277" s="26"/>
      <c r="S277" s="27" t="str">
        <f t="shared" si="19"/>
        <v/>
      </c>
      <c r="T277" s="28" t="str">
        <f t="shared" si="20"/>
        <v/>
      </c>
      <c r="V277" t="str">
        <f t="shared" si="21"/>
        <v/>
      </c>
    </row>
    <row r="278" spans="1:22">
      <c r="A278" s="6"/>
      <c r="H278" s="25"/>
      <c r="I278" s="25"/>
      <c r="J278" s="25"/>
      <c r="K278" s="25"/>
      <c r="L278" s="1" t="str">
        <f t="shared" si="17"/>
        <v/>
      </c>
      <c r="M278" s="1" t="str">
        <f t="shared" si="18"/>
        <v/>
      </c>
      <c r="N278" s="26"/>
      <c r="S278" s="27" t="str">
        <f t="shared" si="19"/>
        <v/>
      </c>
      <c r="T278" s="28" t="str">
        <f t="shared" si="20"/>
        <v/>
      </c>
      <c r="V278" t="str">
        <f t="shared" si="21"/>
        <v/>
      </c>
    </row>
    <row r="279" spans="1:22">
      <c r="A279" s="6"/>
      <c r="H279" s="25"/>
      <c r="I279" s="25"/>
      <c r="J279" s="25"/>
      <c r="K279" s="25"/>
      <c r="L279" s="1" t="str">
        <f t="shared" si="17"/>
        <v/>
      </c>
      <c r="M279" s="1" t="str">
        <f t="shared" si="18"/>
        <v/>
      </c>
      <c r="N279" s="26"/>
      <c r="S279" s="27" t="str">
        <f t="shared" si="19"/>
        <v/>
      </c>
      <c r="T279" s="28" t="str">
        <f t="shared" si="20"/>
        <v/>
      </c>
      <c r="V279" t="str">
        <f t="shared" si="21"/>
        <v/>
      </c>
    </row>
    <row r="280" spans="1:22">
      <c r="A280" s="6"/>
      <c r="H280" s="25"/>
      <c r="I280" s="25"/>
      <c r="J280" s="25"/>
      <c r="K280" s="25"/>
      <c r="L280" s="1" t="str">
        <f t="shared" si="17"/>
        <v/>
      </c>
      <c r="M280" s="1" t="str">
        <f t="shared" si="18"/>
        <v/>
      </c>
      <c r="N280" s="26"/>
      <c r="S280" s="27" t="str">
        <f t="shared" si="19"/>
        <v/>
      </c>
      <c r="T280" s="28" t="str">
        <f t="shared" si="20"/>
        <v/>
      </c>
      <c r="V280" t="str">
        <f t="shared" si="21"/>
        <v/>
      </c>
    </row>
    <row r="281" spans="1:22">
      <c r="A281" s="6"/>
      <c r="H281" s="25"/>
      <c r="I281" s="25"/>
      <c r="J281" s="25"/>
      <c r="K281" s="25"/>
      <c r="L281" s="1" t="str">
        <f t="shared" si="17"/>
        <v/>
      </c>
      <c r="M281" s="1" t="str">
        <f t="shared" si="18"/>
        <v/>
      </c>
      <c r="N281" s="26"/>
      <c r="S281" s="27" t="str">
        <f t="shared" si="19"/>
        <v/>
      </c>
      <c r="T281" s="28" t="str">
        <f t="shared" si="20"/>
        <v/>
      </c>
      <c r="V281" t="str">
        <f t="shared" si="21"/>
        <v/>
      </c>
    </row>
    <row r="282" spans="1:22">
      <c r="A282" s="6"/>
      <c r="H282" s="25"/>
      <c r="I282" s="25"/>
      <c r="J282" s="25"/>
      <c r="K282" s="25"/>
      <c r="L282" s="1" t="str">
        <f t="shared" si="17"/>
        <v/>
      </c>
      <c r="M282" s="1" t="str">
        <f t="shared" si="18"/>
        <v/>
      </c>
      <c r="N282" s="26"/>
      <c r="S282" s="27" t="str">
        <f t="shared" si="19"/>
        <v/>
      </c>
      <c r="T282" s="28" t="str">
        <f t="shared" si="20"/>
        <v/>
      </c>
      <c r="V282" t="str">
        <f t="shared" si="21"/>
        <v/>
      </c>
    </row>
    <row r="283" spans="1:22">
      <c r="A283" s="6"/>
      <c r="H283" s="25"/>
      <c r="I283" s="25"/>
      <c r="J283" s="25"/>
      <c r="K283" s="25"/>
      <c r="L283" s="1" t="str">
        <f t="shared" si="17"/>
        <v/>
      </c>
      <c r="M283" s="1" t="str">
        <f t="shared" si="18"/>
        <v/>
      </c>
      <c r="N283" s="26"/>
      <c r="S283" s="27" t="str">
        <f t="shared" si="19"/>
        <v/>
      </c>
      <c r="T283" s="28" t="str">
        <f t="shared" si="20"/>
        <v/>
      </c>
      <c r="V283" t="str">
        <f t="shared" si="21"/>
        <v/>
      </c>
    </row>
    <row r="284" spans="1:22">
      <c r="A284" s="6"/>
      <c r="H284" s="25"/>
      <c r="I284" s="25"/>
      <c r="J284" s="25"/>
      <c r="K284" s="25"/>
      <c r="L284" s="1" t="str">
        <f t="shared" si="17"/>
        <v/>
      </c>
      <c r="M284" s="1" t="str">
        <f t="shared" si="18"/>
        <v/>
      </c>
      <c r="N284" s="26"/>
      <c r="S284" s="27" t="str">
        <f t="shared" si="19"/>
        <v/>
      </c>
      <c r="T284" s="28" t="str">
        <f t="shared" si="20"/>
        <v/>
      </c>
      <c r="V284" t="str">
        <f t="shared" si="21"/>
        <v/>
      </c>
    </row>
    <row r="285" spans="1:22">
      <c r="A285" s="6"/>
      <c r="H285" s="25"/>
      <c r="I285" s="25"/>
      <c r="J285" s="25"/>
      <c r="K285" s="25"/>
      <c r="L285" s="1" t="str">
        <f t="shared" si="17"/>
        <v/>
      </c>
      <c r="M285" s="1" t="str">
        <f t="shared" si="18"/>
        <v/>
      </c>
      <c r="N285" s="26"/>
      <c r="S285" s="27" t="str">
        <f t="shared" si="19"/>
        <v/>
      </c>
      <c r="T285" s="28" t="str">
        <f t="shared" si="20"/>
        <v/>
      </c>
      <c r="V285" t="str">
        <f t="shared" si="21"/>
        <v/>
      </c>
    </row>
    <row r="286" spans="1:22">
      <c r="A286" s="6"/>
      <c r="H286" s="25"/>
      <c r="I286" s="25"/>
      <c r="J286" s="25"/>
      <c r="K286" s="25"/>
      <c r="L286" s="1" t="str">
        <f t="shared" si="17"/>
        <v/>
      </c>
      <c r="M286" s="1" t="str">
        <f t="shared" si="18"/>
        <v/>
      </c>
      <c r="N286" s="26"/>
      <c r="S286" s="27" t="str">
        <f t="shared" si="19"/>
        <v/>
      </c>
      <c r="T286" s="28" t="str">
        <f t="shared" si="20"/>
        <v/>
      </c>
      <c r="V286" t="str">
        <f t="shared" si="21"/>
        <v/>
      </c>
    </row>
    <row r="287" spans="1:22">
      <c r="A287" s="6"/>
      <c r="H287" s="25"/>
      <c r="I287" s="25"/>
      <c r="J287" s="25"/>
      <c r="K287" s="25"/>
      <c r="L287" s="1" t="str">
        <f t="shared" si="17"/>
        <v/>
      </c>
      <c r="M287" s="1" t="str">
        <f t="shared" si="18"/>
        <v/>
      </c>
      <c r="N287" s="26"/>
      <c r="S287" s="27" t="str">
        <f t="shared" si="19"/>
        <v/>
      </c>
      <c r="T287" s="28" t="str">
        <f t="shared" si="20"/>
        <v/>
      </c>
      <c r="V287" t="str">
        <f t="shared" si="21"/>
        <v/>
      </c>
    </row>
    <row r="288" spans="1:22">
      <c r="A288" s="6"/>
      <c r="H288" s="25"/>
      <c r="I288" s="25"/>
      <c r="J288" s="25"/>
      <c r="K288" s="25"/>
      <c r="L288" s="1" t="str">
        <f t="shared" si="17"/>
        <v/>
      </c>
      <c r="M288" s="1" t="str">
        <f t="shared" si="18"/>
        <v/>
      </c>
      <c r="N288" s="26"/>
      <c r="S288" s="27" t="str">
        <f t="shared" si="19"/>
        <v/>
      </c>
      <c r="T288" s="28" t="str">
        <f t="shared" si="20"/>
        <v/>
      </c>
      <c r="V288" t="str">
        <f t="shared" si="21"/>
        <v/>
      </c>
    </row>
    <row r="289" spans="1:22">
      <c r="A289" s="6"/>
      <c r="H289" s="25"/>
      <c r="I289" s="25"/>
      <c r="J289" s="25"/>
      <c r="K289" s="25"/>
      <c r="L289" s="1" t="str">
        <f t="shared" si="17"/>
        <v/>
      </c>
      <c r="M289" s="1" t="str">
        <f t="shared" si="18"/>
        <v/>
      </c>
      <c r="N289" s="26"/>
      <c r="S289" s="27" t="str">
        <f t="shared" si="19"/>
        <v/>
      </c>
      <c r="T289" s="28" t="str">
        <f t="shared" si="20"/>
        <v/>
      </c>
      <c r="V289" t="str">
        <f t="shared" si="21"/>
        <v/>
      </c>
    </row>
    <row r="290" spans="1:22">
      <c r="A290" s="6"/>
      <c r="H290" s="25"/>
      <c r="I290" s="25"/>
      <c r="J290" s="25"/>
      <c r="K290" s="25"/>
      <c r="L290" s="1" t="str">
        <f t="shared" si="17"/>
        <v/>
      </c>
      <c r="M290" s="1" t="str">
        <f t="shared" si="18"/>
        <v/>
      </c>
      <c r="N290" s="26"/>
      <c r="S290" s="27" t="str">
        <f t="shared" si="19"/>
        <v/>
      </c>
      <c r="T290" s="28" t="str">
        <f t="shared" si="20"/>
        <v/>
      </c>
      <c r="V290" t="str">
        <f t="shared" si="21"/>
        <v/>
      </c>
    </row>
    <row r="291" spans="1:22">
      <c r="A291" s="6"/>
      <c r="H291" s="25"/>
      <c r="I291" s="25"/>
      <c r="J291" s="25"/>
      <c r="K291" s="25"/>
      <c r="L291" s="1" t="str">
        <f t="shared" si="17"/>
        <v/>
      </c>
      <c r="M291" s="1" t="str">
        <f t="shared" si="18"/>
        <v/>
      </c>
      <c r="N291" s="26"/>
      <c r="S291" s="27" t="str">
        <f t="shared" si="19"/>
        <v/>
      </c>
      <c r="T291" s="28" t="str">
        <f t="shared" si="20"/>
        <v/>
      </c>
      <c r="V291" t="str">
        <f t="shared" si="21"/>
        <v/>
      </c>
    </row>
    <row r="292" spans="1:22">
      <c r="A292" s="6"/>
      <c r="H292" s="25"/>
      <c r="I292" s="25"/>
      <c r="J292" s="25"/>
      <c r="K292" s="25"/>
      <c r="L292" s="1" t="str">
        <f t="shared" si="17"/>
        <v/>
      </c>
      <c r="M292" s="1" t="str">
        <f t="shared" si="18"/>
        <v/>
      </c>
      <c r="N292" s="26"/>
      <c r="S292" s="27" t="str">
        <f t="shared" si="19"/>
        <v/>
      </c>
      <c r="T292" s="28" t="str">
        <f t="shared" si="20"/>
        <v/>
      </c>
      <c r="V292" t="str">
        <f t="shared" si="21"/>
        <v/>
      </c>
    </row>
    <row r="293" spans="1:22">
      <c r="A293" s="6"/>
      <c r="H293" s="25"/>
      <c r="I293" s="25"/>
      <c r="J293" s="25"/>
      <c r="K293" s="25"/>
      <c r="L293" s="1" t="str">
        <f t="shared" si="17"/>
        <v/>
      </c>
      <c r="M293" s="1" t="str">
        <f t="shared" si="18"/>
        <v/>
      </c>
      <c r="N293" s="26"/>
      <c r="S293" s="27" t="str">
        <f t="shared" si="19"/>
        <v/>
      </c>
      <c r="T293" s="28" t="str">
        <f t="shared" si="20"/>
        <v/>
      </c>
      <c r="V293" t="str">
        <f t="shared" si="21"/>
        <v/>
      </c>
    </row>
    <row r="294" spans="1:22">
      <c r="A294" s="6"/>
      <c r="H294" s="25"/>
      <c r="I294" s="25"/>
      <c r="J294" s="25"/>
      <c r="K294" s="25"/>
      <c r="L294" s="1" t="str">
        <f t="shared" si="17"/>
        <v/>
      </c>
      <c r="M294" s="1" t="str">
        <f t="shared" si="18"/>
        <v/>
      </c>
      <c r="N294" s="26"/>
      <c r="S294" s="27" t="str">
        <f t="shared" si="19"/>
        <v/>
      </c>
      <c r="T294" s="28" t="str">
        <f t="shared" si="20"/>
        <v/>
      </c>
      <c r="V294" t="str">
        <f t="shared" si="21"/>
        <v/>
      </c>
    </row>
    <row r="295" spans="1:22">
      <c r="A295" s="6"/>
      <c r="H295" s="25"/>
      <c r="I295" s="25"/>
      <c r="J295" s="25"/>
      <c r="K295" s="25"/>
      <c r="L295" s="1" t="str">
        <f t="shared" si="17"/>
        <v/>
      </c>
      <c r="M295" s="1" t="str">
        <f t="shared" si="18"/>
        <v/>
      </c>
      <c r="N295" s="26"/>
      <c r="S295" s="27" t="str">
        <f t="shared" si="19"/>
        <v/>
      </c>
      <c r="T295" s="28" t="str">
        <f t="shared" si="20"/>
        <v/>
      </c>
      <c r="V295" t="str">
        <f t="shared" si="21"/>
        <v/>
      </c>
    </row>
    <row r="296" spans="1:22">
      <c r="A296" s="6"/>
      <c r="H296" s="25"/>
      <c r="I296" s="25"/>
      <c r="J296" s="25"/>
      <c r="K296" s="25"/>
      <c r="L296" s="1" t="str">
        <f t="shared" si="17"/>
        <v/>
      </c>
      <c r="M296" s="1" t="str">
        <f t="shared" si="18"/>
        <v/>
      </c>
      <c r="N296" s="26"/>
      <c r="S296" s="27" t="str">
        <f t="shared" si="19"/>
        <v/>
      </c>
      <c r="T296" s="28" t="str">
        <f t="shared" si="20"/>
        <v/>
      </c>
      <c r="V296" t="str">
        <f t="shared" si="21"/>
        <v/>
      </c>
    </row>
    <row r="297" spans="1:22">
      <c r="A297" s="6"/>
      <c r="H297" s="25"/>
      <c r="I297" s="25"/>
      <c r="J297" s="25"/>
      <c r="K297" s="25"/>
      <c r="L297" s="1" t="str">
        <f t="shared" si="17"/>
        <v/>
      </c>
      <c r="M297" s="1" t="str">
        <f t="shared" si="18"/>
        <v/>
      </c>
      <c r="N297" s="26"/>
      <c r="S297" s="27" t="str">
        <f t="shared" si="19"/>
        <v/>
      </c>
      <c r="T297" s="28" t="str">
        <f t="shared" si="20"/>
        <v/>
      </c>
      <c r="V297" t="str">
        <f t="shared" si="21"/>
        <v/>
      </c>
    </row>
    <row r="298" spans="1:22">
      <c r="A298" s="6"/>
      <c r="H298" s="25"/>
      <c r="I298" s="25"/>
      <c r="J298" s="25"/>
      <c r="K298" s="25"/>
      <c r="L298" s="1" t="str">
        <f t="shared" si="17"/>
        <v/>
      </c>
      <c r="M298" s="1" t="str">
        <f t="shared" si="18"/>
        <v/>
      </c>
      <c r="N298" s="26"/>
      <c r="S298" s="27" t="str">
        <f t="shared" si="19"/>
        <v/>
      </c>
      <c r="T298" s="28" t="str">
        <f t="shared" si="20"/>
        <v/>
      </c>
      <c r="V298" t="str">
        <f t="shared" si="21"/>
        <v/>
      </c>
    </row>
    <row r="299" spans="1:22">
      <c r="A299" s="6"/>
      <c r="H299" s="25"/>
      <c r="I299" s="25"/>
      <c r="J299" s="25"/>
      <c r="K299" s="25"/>
      <c r="L299" s="1" t="str">
        <f t="shared" si="17"/>
        <v/>
      </c>
      <c r="M299" s="1" t="str">
        <f t="shared" si="18"/>
        <v/>
      </c>
      <c r="N299" s="26"/>
      <c r="S299" s="27" t="str">
        <f t="shared" si="19"/>
        <v/>
      </c>
      <c r="T299" s="28" t="str">
        <f t="shared" si="20"/>
        <v/>
      </c>
      <c r="V299" t="str">
        <f t="shared" si="21"/>
        <v/>
      </c>
    </row>
    <row r="300" spans="1:22">
      <c r="A300" s="6"/>
      <c r="H300" s="25"/>
      <c r="I300" s="25"/>
      <c r="J300" s="25"/>
      <c r="K300" s="25"/>
      <c r="L300" s="1" t="str">
        <f t="shared" si="17"/>
        <v/>
      </c>
      <c r="M300" s="1" t="str">
        <f t="shared" si="18"/>
        <v/>
      </c>
      <c r="N300" s="26"/>
      <c r="S300" s="27" t="str">
        <f t="shared" si="19"/>
        <v/>
      </c>
      <c r="T300" s="28" t="str">
        <f t="shared" si="20"/>
        <v/>
      </c>
      <c r="V300" t="str">
        <f t="shared" si="21"/>
        <v/>
      </c>
    </row>
    <row r="301" spans="1:22">
      <c r="A301" s="6"/>
      <c r="H301" s="25"/>
      <c r="I301" s="25"/>
      <c r="J301" s="25"/>
      <c r="K301" s="25"/>
      <c r="L301" s="1" t="str">
        <f t="shared" si="17"/>
        <v/>
      </c>
      <c r="M301" s="1" t="str">
        <f t="shared" si="18"/>
        <v/>
      </c>
      <c r="N301" s="26"/>
      <c r="S301" s="27" t="str">
        <f t="shared" si="19"/>
        <v/>
      </c>
      <c r="T301" s="28" t="str">
        <f t="shared" si="20"/>
        <v/>
      </c>
      <c r="V301" t="str">
        <f t="shared" si="21"/>
        <v/>
      </c>
    </row>
    <row r="302" spans="1:22">
      <c r="A302" s="6"/>
      <c r="H302" s="25"/>
      <c r="I302" s="25"/>
      <c r="J302" s="25"/>
      <c r="K302" s="25"/>
      <c r="L302" s="1" t="str">
        <f t="shared" si="17"/>
        <v/>
      </c>
      <c r="M302" s="1" t="str">
        <f t="shared" si="18"/>
        <v/>
      </c>
      <c r="N302" s="26"/>
      <c r="S302" s="27" t="str">
        <f t="shared" si="19"/>
        <v/>
      </c>
      <c r="T302" s="28" t="str">
        <f t="shared" si="20"/>
        <v/>
      </c>
      <c r="V302" t="str">
        <f t="shared" si="21"/>
        <v/>
      </c>
    </row>
    <row r="303" spans="1:22">
      <c r="A303" s="6"/>
      <c r="H303" s="25"/>
      <c r="I303" s="25"/>
      <c r="J303" s="25"/>
      <c r="K303" s="25"/>
      <c r="L303" s="1" t="str">
        <f t="shared" si="17"/>
        <v/>
      </c>
      <c r="M303" s="1" t="str">
        <f t="shared" si="18"/>
        <v/>
      </c>
      <c r="N303" s="26"/>
      <c r="S303" s="27" t="str">
        <f t="shared" si="19"/>
        <v/>
      </c>
      <c r="T303" s="28" t="str">
        <f t="shared" si="20"/>
        <v/>
      </c>
      <c r="V303" t="str">
        <f t="shared" si="21"/>
        <v/>
      </c>
    </row>
    <row r="304" spans="1:22">
      <c r="A304" s="6"/>
      <c r="H304" s="25"/>
      <c r="I304" s="25"/>
      <c r="J304" s="25"/>
      <c r="K304" s="25"/>
      <c r="L304" s="1" t="str">
        <f t="shared" si="17"/>
        <v/>
      </c>
      <c r="M304" s="1" t="str">
        <f t="shared" si="18"/>
        <v/>
      </c>
      <c r="N304" s="26"/>
      <c r="S304" s="27" t="str">
        <f t="shared" si="19"/>
        <v/>
      </c>
      <c r="T304" s="28" t="str">
        <f t="shared" si="20"/>
        <v/>
      </c>
      <c r="V304" t="str">
        <f t="shared" si="21"/>
        <v/>
      </c>
    </row>
    <row r="305" spans="1:22">
      <c r="A305" s="6"/>
      <c r="H305" s="25"/>
      <c r="I305" s="25"/>
      <c r="J305" s="25"/>
      <c r="K305" s="25"/>
      <c r="L305" s="1" t="str">
        <f t="shared" si="17"/>
        <v/>
      </c>
      <c r="M305" s="1" t="str">
        <f t="shared" si="18"/>
        <v/>
      </c>
      <c r="N305" s="26"/>
      <c r="S305" s="27" t="str">
        <f t="shared" si="19"/>
        <v/>
      </c>
      <c r="T305" s="28" t="str">
        <f t="shared" si="20"/>
        <v/>
      </c>
      <c r="V305" t="str">
        <f t="shared" si="21"/>
        <v/>
      </c>
    </row>
    <row r="306" spans="1:22">
      <c r="A306" s="6"/>
      <c r="H306" s="25"/>
      <c r="I306" s="25"/>
      <c r="J306" s="25"/>
      <c r="K306" s="25"/>
      <c r="L306" s="1" t="str">
        <f t="shared" si="17"/>
        <v/>
      </c>
      <c r="M306" s="1" t="str">
        <f t="shared" si="18"/>
        <v/>
      </c>
      <c r="N306" s="26"/>
      <c r="S306" s="27" t="str">
        <f t="shared" si="19"/>
        <v/>
      </c>
      <c r="T306" s="28" t="str">
        <f t="shared" si="20"/>
        <v/>
      </c>
      <c r="V306" t="str">
        <f t="shared" si="21"/>
        <v/>
      </c>
    </row>
    <row r="307" spans="1:22">
      <c r="A307" s="6"/>
      <c r="H307" s="25"/>
      <c r="I307" s="25"/>
      <c r="J307" s="25"/>
      <c r="K307" s="25"/>
      <c r="L307" s="1" t="str">
        <f t="shared" si="17"/>
        <v/>
      </c>
      <c r="M307" s="1" t="str">
        <f t="shared" si="18"/>
        <v/>
      </c>
      <c r="N307" s="26"/>
      <c r="S307" s="27" t="str">
        <f t="shared" si="19"/>
        <v/>
      </c>
      <c r="T307" s="28" t="str">
        <f t="shared" si="20"/>
        <v/>
      </c>
      <c r="V307" t="str">
        <f t="shared" si="21"/>
        <v/>
      </c>
    </row>
    <row r="308" spans="1:22">
      <c r="A308" s="6"/>
      <c r="H308" s="25"/>
      <c r="I308" s="25"/>
      <c r="J308" s="25"/>
      <c r="K308" s="25"/>
      <c r="L308" s="1" t="str">
        <f t="shared" si="17"/>
        <v/>
      </c>
      <c r="M308" s="1" t="str">
        <f t="shared" si="18"/>
        <v/>
      </c>
      <c r="N308" s="26"/>
      <c r="S308" s="27" t="str">
        <f t="shared" si="19"/>
        <v/>
      </c>
      <c r="T308" s="28" t="str">
        <f t="shared" si="20"/>
        <v/>
      </c>
      <c r="V308" t="str">
        <f t="shared" si="21"/>
        <v/>
      </c>
    </row>
    <row r="309" spans="1:22">
      <c r="A309" s="6"/>
      <c r="H309" s="25"/>
      <c r="I309" s="25"/>
      <c r="J309" s="25"/>
      <c r="K309" s="25"/>
      <c r="L309" s="1" t="str">
        <f t="shared" si="17"/>
        <v/>
      </c>
      <c r="M309" s="1" t="str">
        <f t="shared" si="18"/>
        <v/>
      </c>
      <c r="N309" s="26"/>
      <c r="S309" s="27" t="str">
        <f t="shared" si="19"/>
        <v/>
      </c>
      <c r="T309" s="28" t="str">
        <f t="shared" si="20"/>
        <v/>
      </c>
      <c r="V309" t="str">
        <f t="shared" si="21"/>
        <v/>
      </c>
    </row>
    <row r="310" spans="1:22">
      <c r="A310" s="6"/>
      <c r="H310" s="25"/>
      <c r="I310" s="25"/>
      <c r="J310" s="25"/>
      <c r="K310" s="25"/>
      <c r="L310" s="1" t="str">
        <f t="shared" si="17"/>
        <v/>
      </c>
      <c r="M310" s="1" t="str">
        <f t="shared" si="18"/>
        <v/>
      </c>
      <c r="N310" s="26"/>
      <c r="S310" s="27" t="str">
        <f t="shared" si="19"/>
        <v/>
      </c>
      <c r="T310" s="28" t="str">
        <f t="shared" si="20"/>
        <v/>
      </c>
      <c r="V310" t="str">
        <f t="shared" si="21"/>
        <v/>
      </c>
    </row>
    <row r="311" spans="1:22">
      <c r="A311" s="6"/>
      <c r="H311" s="25"/>
      <c r="I311" s="25"/>
      <c r="J311" s="25"/>
      <c r="K311" s="25"/>
      <c r="L311" s="1" t="str">
        <f t="shared" si="17"/>
        <v/>
      </c>
      <c r="M311" s="1" t="str">
        <f t="shared" si="18"/>
        <v/>
      </c>
      <c r="N311" s="26"/>
      <c r="S311" s="27" t="str">
        <f t="shared" si="19"/>
        <v/>
      </c>
      <c r="T311" s="28" t="str">
        <f t="shared" si="20"/>
        <v/>
      </c>
      <c r="V311" t="str">
        <f t="shared" si="21"/>
        <v/>
      </c>
    </row>
    <row r="312" spans="1:22">
      <c r="A312" s="6"/>
      <c r="H312" s="25"/>
      <c r="I312" s="25"/>
      <c r="J312" s="25"/>
      <c r="K312" s="25"/>
      <c r="L312" s="1" t="str">
        <f t="shared" si="17"/>
        <v/>
      </c>
      <c r="M312" s="1" t="str">
        <f t="shared" si="18"/>
        <v/>
      </c>
      <c r="N312" s="26"/>
      <c r="S312" s="27" t="str">
        <f t="shared" si="19"/>
        <v/>
      </c>
      <c r="T312" s="28" t="str">
        <f t="shared" si="20"/>
        <v/>
      </c>
      <c r="V312" t="str">
        <f t="shared" si="21"/>
        <v/>
      </c>
    </row>
    <row r="313" spans="1:22">
      <c r="A313" s="6"/>
      <c r="H313" s="25"/>
      <c r="I313" s="25"/>
      <c r="J313" s="25"/>
      <c r="K313" s="25"/>
      <c r="L313" s="1" t="str">
        <f t="shared" si="17"/>
        <v/>
      </c>
      <c r="M313" s="1" t="str">
        <f t="shared" si="18"/>
        <v/>
      </c>
      <c r="N313" s="26"/>
      <c r="S313" s="27" t="str">
        <f t="shared" si="19"/>
        <v/>
      </c>
      <c r="T313" s="28" t="str">
        <f t="shared" si="20"/>
        <v/>
      </c>
      <c r="V313" t="str">
        <f t="shared" si="21"/>
        <v/>
      </c>
    </row>
    <row r="314" spans="1:22">
      <c r="A314" s="6"/>
      <c r="H314" s="25"/>
      <c r="I314" s="25"/>
      <c r="J314" s="25"/>
      <c r="K314" s="25"/>
      <c r="L314" s="1" t="str">
        <f t="shared" si="17"/>
        <v/>
      </c>
      <c r="M314" s="1" t="str">
        <f t="shared" si="18"/>
        <v/>
      </c>
      <c r="N314" s="26"/>
      <c r="S314" s="27" t="str">
        <f t="shared" si="19"/>
        <v/>
      </c>
      <c r="T314" s="28" t="str">
        <f t="shared" si="20"/>
        <v/>
      </c>
      <c r="V314" t="str">
        <f t="shared" si="21"/>
        <v/>
      </c>
    </row>
    <row r="315" spans="1:22">
      <c r="A315" s="6"/>
      <c r="H315" s="25"/>
      <c r="I315" s="25"/>
      <c r="J315" s="25"/>
      <c r="K315" s="25"/>
      <c r="L315" s="1" t="str">
        <f t="shared" si="17"/>
        <v/>
      </c>
      <c r="M315" s="1" t="str">
        <f t="shared" si="18"/>
        <v/>
      </c>
      <c r="N315" s="26"/>
      <c r="S315" s="27" t="str">
        <f t="shared" si="19"/>
        <v/>
      </c>
      <c r="T315" s="28" t="str">
        <f t="shared" si="20"/>
        <v/>
      </c>
      <c r="V315" t="str">
        <f t="shared" si="21"/>
        <v/>
      </c>
    </row>
    <row r="316" spans="1:22">
      <c r="A316" s="6"/>
      <c r="H316" s="25"/>
      <c r="I316" s="25"/>
      <c r="J316" s="25"/>
      <c r="K316" s="25"/>
      <c r="L316" s="1" t="str">
        <f t="shared" si="17"/>
        <v/>
      </c>
      <c r="M316" s="1" t="str">
        <f t="shared" si="18"/>
        <v/>
      </c>
      <c r="N316" s="26"/>
      <c r="S316" s="27" t="str">
        <f t="shared" si="19"/>
        <v/>
      </c>
      <c r="T316" s="28" t="str">
        <f t="shared" si="20"/>
        <v/>
      </c>
      <c r="V316" t="str">
        <f t="shared" si="21"/>
        <v/>
      </c>
    </row>
    <row r="317" spans="1:22">
      <c r="A317" s="6"/>
      <c r="H317" s="25"/>
      <c r="I317" s="25"/>
      <c r="J317" s="25"/>
      <c r="K317" s="25"/>
      <c r="L317" s="1" t="str">
        <f t="shared" si="17"/>
        <v/>
      </c>
      <c r="M317" s="1" t="str">
        <f t="shared" si="18"/>
        <v/>
      </c>
      <c r="N317" s="26"/>
      <c r="S317" s="27" t="str">
        <f t="shared" si="19"/>
        <v/>
      </c>
      <c r="T317" s="28" t="str">
        <f t="shared" si="20"/>
        <v/>
      </c>
      <c r="V317" t="str">
        <f t="shared" si="21"/>
        <v/>
      </c>
    </row>
    <row r="318" spans="1:22">
      <c r="A318" s="6"/>
      <c r="H318" s="25"/>
      <c r="I318" s="25"/>
      <c r="J318" s="25"/>
      <c r="K318" s="25"/>
      <c r="L318" s="1" t="str">
        <f t="shared" si="17"/>
        <v/>
      </c>
      <c r="M318" s="1" t="str">
        <f t="shared" si="18"/>
        <v/>
      </c>
      <c r="N318" s="26"/>
      <c r="S318" s="27" t="str">
        <f t="shared" si="19"/>
        <v/>
      </c>
      <c r="T318" s="28" t="str">
        <f t="shared" si="20"/>
        <v/>
      </c>
      <c r="V318" t="str">
        <f t="shared" si="21"/>
        <v/>
      </c>
    </row>
    <row r="319" spans="1:22">
      <c r="A319" s="6"/>
      <c r="H319" s="25"/>
      <c r="I319" s="25"/>
      <c r="J319" s="25"/>
      <c r="K319" s="25"/>
      <c r="L319" s="1" t="str">
        <f t="shared" si="17"/>
        <v/>
      </c>
      <c r="M319" s="1" t="str">
        <f t="shared" si="18"/>
        <v/>
      </c>
      <c r="N319" s="26"/>
      <c r="S319" s="27" t="str">
        <f t="shared" si="19"/>
        <v/>
      </c>
      <c r="T319" s="28" t="str">
        <f t="shared" si="20"/>
        <v/>
      </c>
      <c r="V319" t="str">
        <f t="shared" si="21"/>
        <v/>
      </c>
    </row>
    <row r="320" spans="1:22">
      <c r="A320" s="6"/>
      <c r="H320" s="25"/>
      <c r="I320" s="25"/>
      <c r="J320" s="25"/>
      <c r="K320" s="25"/>
      <c r="L320" s="1" t="str">
        <f t="shared" si="17"/>
        <v/>
      </c>
      <c r="M320" s="1" t="str">
        <f t="shared" si="18"/>
        <v/>
      </c>
      <c r="N320" s="26"/>
      <c r="S320" s="27" t="str">
        <f t="shared" si="19"/>
        <v/>
      </c>
      <c r="T320" s="28" t="str">
        <f t="shared" si="20"/>
        <v/>
      </c>
      <c r="V320" t="str">
        <f t="shared" si="21"/>
        <v/>
      </c>
    </row>
    <row r="321" spans="1:22">
      <c r="A321" s="6"/>
      <c r="H321" s="25"/>
      <c r="I321" s="25"/>
      <c r="J321" s="25"/>
      <c r="K321" s="25"/>
      <c r="L321" s="1" t="str">
        <f t="shared" si="17"/>
        <v/>
      </c>
      <c r="M321" s="1" t="str">
        <f t="shared" si="18"/>
        <v/>
      </c>
      <c r="N321" s="26"/>
      <c r="S321" s="27" t="str">
        <f t="shared" si="19"/>
        <v/>
      </c>
      <c r="T321" s="28" t="str">
        <f t="shared" si="20"/>
        <v/>
      </c>
      <c r="V321" t="str">
        <f t="shared" si="21"/>
        <v/>
      </c>
    </row>
    <row r="322" spans="1:22">
      <c r="A322" s="6"/>
      <c r="H322" s="25"/>
      <c r="I322" s="25"/>
      <c r="J322" s="25"/>
      <c r="K322" s="25"/>
      <c r="L322" s="1" t="str">
        <f t="shared" ref="L322:L385" si="22">IF($A322="","",IF(AND(ISNUMBER($H322),ISNUMBER($K322)),MOD($K322-$H322,1),""))</f>
        <v/>
      </c>
      <c r="M322" s="1" t="str">
        <f t="shared" ref="M322:M385" si="23">IF($A322="","",IF(AND(ISNUMBER($I322),ISNUMBER($J322)),MOD($J322-$I322,1),""))</f>
        <v/>
      </c>
      <c r="N322" s="26"/>
      <c r="S322" s="27" t="str">
        <f t="shared" si="19"/>
        <v/>
      </c>
      <c r="T322" s="28" t="str">
        <f t="shared" si="20"/>
        <v/>
      </c>
      <c r="V322" t="str">
        <f t="shared" si="21"/>
        <v/>
      </c>
    </row>
    <row r="323" spans="1:22">
      <c r="A323" s="6"/>
      <c r="H323" s="25"/>
      <c r="I323" s="25"/>
      <c r="J323" s="25"/>
      <c r="K323" s="25"/>
      <c r="L323" s="1" t="str">
        <f t="shared" si="22"/>
        <v/>
      </c>
      <c r="M323" s="1" t="str">
        <f t="shared" si="23"/>
        <v/>
      </c>
      <c r="N323" s="26"/>
      <c r="S323" s="27" t="str">
        <f t="shared" si="19"/>
        <v/>
      </c>
      <c r="T323" s="28" t="str">
        <f t="shared" si="20"/>
        <v/>
      </c>
      <c r="V323" t="str">
        <f t="shared" si="21"/>
        <v/>
      </c>
    </row>
    <row r="324" spans="1:22">
      <c r="A324" s="6"/>
      <c r="H324" s="25"/>
      <c r="I324" s="25"/>
      <c r="J324" s="25"/>
      <c r="K324" s="25"/>
      <c r="L324" s="1" t="str">
        <f t="shared" si="22"/>
        <v/>
      </c>
      <c r="M324" s="1" t="str">
        <f t="shared" si="23"/>
        <v/>
      </c>
      <c r="N324" s="26"/>
      <c r="S324" s="27" t="str">
        <f t="shared" si="19"/>
        <v/>
      </c>
      <c r="T324" s="28" t="str">
        <f t="shared" si="20"/>
        <v/>
      </c>
      <c r="V324" t="str">
        <f t="shared" si="21"/>
        <v/>
      </c>
    </row>
    <row r="325" spans="1:22">
      <c r="A325" s="6"/>
      <c r="H325" s="25"/>
      <c r="I325" s="25"/>
      <c r="J325" s="25"/>
      <c r="K325" s="25"/>
      <c r="L325" s="1" t="str">
        <f t="shared" si="22"/>
        <v/>
      </c>
      <c r="M325" s="1" t="str">
        <f t="shared" si="23"/>
        <v/>
      </c>
      <c r="N325" s="26"/>
      <c r="S325" s="27" t="str">
        <f t="shared" ref="S325:S388" si="24">IF($C325="","",IF($C325="3344",450,IF($C325="5194",320,IF($C325="6606",290,IF($C325="7430",290,IF($C325="8115",2080,IF($C325="8205",450,IF($C325="8441",260,IF($C325="OK-BIC",3060,IF($C325="OK-BID",3060,IF($C325="OK-BIK",2700,IF($C325="OK-BIL",3060,IF($C325="OK-BIN",3060,IF($C325="OK-BIR",3060,IF($C325="OK-BUG12",2150,IF($C325="OK-CUG23",2370,IF($C325="OK-DAS",5600,IF($C325="OK-DOD",4420,IF($C325="OK-DPH",5000,IF($C325="OK-DUI89",2250,IF($C325="OK-DUI94",4000,IF($C325="OK-EUI10",2250,IF($C325="OK-EUI21",4000,IF($C325="OK-IAF",3060,IF($C325="OK-MPK",3820,IF($C325="OK-NUU90",2080,IF($C325="OK-UUR14",2250,IF($C325="OK-WUS17",3500,IF($C325="OK-XAI04",1860,"")))))))))))))))))))))))))))))</f>
        <v/>
      </c>
      <c r="T325" s="28" t="str">
        <f t="shared" si="20"/>
        <v/>
      </c>
      <c r="V325" t="str">
        <f t="shared" si="21"/>
        <v/>
      </c>
    </row>
    <row r="326" spans="1:22">
      <c r="A326" s="6"/>
      <c r="H326" s="25"/>
      <c r="I326" s="25"/>
      <c r="J326" s="25"/>
      <c r="K326" s="25"/>
      <c r="L326" s="1" t="str">
        <f t="shared" si="22"/>
        <v/>
      </c>
      <c r="M326" s="1" t="str">
        <f t="shared" si="23"/>
        <v/>
      </c>
      <c r="N326" s="26"/>
      <c r="S326" s="27" t="str">
        <f t="shared" si="24"/>
        <v/>
      </c>
      <c r="T326" s="28" t="str">
        <f t="shared" si="20"/>
        <v/>
      </c>
      <c r="V326" t="str">
        <f t="shared" si="21"/>
        <v/>
      </c>
    </row>
    <row r="327" spans="1:22">
      <c r="A327" s="6"/>
      <c r="H327" s="25"/>
      <c r="I327" s="25"/>
      <c r="J327" s="25"/>
      <c r="K327" s="25"/>
      <c r="L327" s="1" t="str">
        <f t="shared" si="22"/>
        <v/>
      </c>
      <c r="M327" s="1" t="str">
        <f t="shared" si="23"/>
        <v/>
      </c>
      <c r="N327" s="26"/>
      <c r="S327" s="27" t="str">
        <f t="shared" si="24"/>
        <v/>
      </c>
      <c r="T327" s="28" t="str">
        <f t="shared" si="20"/>
        <v/>
      </c>
      <c r="V327" t="str">
        <f t="shared" si="21"/>
        <v/>
      </c>
    </row>
    <row r="328" spans="1:22">
      <c r="A328" s="6"/>
      <c r="H328" s="25"/>
      <c r="I328" s="25"/>
      <c r="J328" s="25"/>
      <c r="K328" s="25"/>
      <c r="L328" s="1" t="str">
        <f t="shared" si="22"/>
        <v/>
      </c>
      <c r="M328" s="1" t="str">
        <f t="shared" si="23"/>
        <v/>
      </c>
      <c r="N328" s="26"/>
      <c r="S328" s="27" t="str">
        <f t="shared" si="24"/>
        <v/>
      </c>
      <c r="T328" s="28" t="str">
        <f t="shared" si="20"/>
        <v/>
      </c>
      <c r="V328" t="str">
        <f t="shared" si="21"/>
        <v/>
      </c>
    </row>
    <row r="329" spans="1:22">
      <c r="A329" s="6"/>
      <c r="H329" s="25"/>
      <c r="I329" s="25"/>
      <c r="J329" s="25"/>
      <c r="K329" s="25"/>
      <c r="L329" s="1" t="str">
        <f t="shared" si="22"/>
        <v/>
      </c>
      <c r="M329" s="1" t="str">
        <f t="shared" si="23"/>
        <v/>
      </c>
      <c r="N329" s="26"/>
      <c r="S329" s="27" t="str">
        <f t="shared" si="24"/>
        <v/>
      </c>
      <c r="T329" s="28" t="str">
        <f t="shared" si="20"/>
        <v/>
      </c>
      <c r="V329" t="str">
        <f t="shared" si="21"/>
        <v/>
      </c>
    </row>
    <row r="330" spans="1:22">
      <c r="A330" s="6"/>
      <c r="H330" s="25"/>
      <c r="I330" s="25"/>
      <c r="J330" s="25"/>
      <c r="K330" s="25"/>
      <c r="L330" s="1" t="str">
        <f t="shared" si="22"/>
        <v/>
      </c>
      <c r="M330" s="1" t="str">
        <f t="shared" si="23"/>
        <v/>
      </c>
      <c r="N330" s="26"/>
      <c r="S330" s="27" t="str">
        <f t="shared" si="24"/>
        <v/>
      </c>
      <c r="T330" s="28" t="str">
        <f t="shared" si="20"/>
        <v/>
      </c>
      <c r="V330" t="str">
        <f t="shared" si="21"/>
        <v/>
      </c>
    </row>
    <row r="331" spans="1:22">
      <c r="A331" s="6"/>
      <c r="H331" s="25"/>
      <c r="I331" s="25"/>
      <c r="J331" s="25"/>
      <c r="K331" s="25"/>
      <c r="L331" s="1" t="str">
        <f t="shared" si="22"/>
        <v/>
      </c>
      <c r="M331" s="1" t="str">
        <f t="shared" si="23"/>
        <v/>
      </c>
      <c r="N331" s="26"/>
      <c r="S331" s="27" t="str">
        <f t="shared" si="24"/>
        <v/>
      </c>
      <c r="T331" s="28" t="str">
        <f t="shared" si="20"/>
        <v/>
      </c>
      <c r="V331" t="str">
        <f t="shared" si="21"/>
        <v/>
      </c>
    </row>
    <row r="332" spans="1:22">
      <c r="A332" s="6"/>
      <c r="H332" s="25"/>
      <c r="I332" s="25"/>
      <c r="J332" s="25"/>
      <c r="K332" s="25"/>
      <c r="L332" s="1" t="str">
        <f t="shared" si="22"/>
        <v/>
      </c>
      <c r="M332" s="1" t="str">
        <f t="shared" si="23"/>
        <v/>
      </c>
      <c r="N332" s="26"/>
      <c r="S332" s="27" t="str">
        <f t="shared" si="24"/>
        <v/>
      </c>
      <c r="T332" s="28" t="str">
        <f t="shared" si="20"/>
        <v/>
      </c>
      <c r="V332" t="str">
        <f t="shared" si="21"/>
        <v/>
      </c>
    </row>
    <row r="333" spans="1:22">
      <c r="A333" s="6"/>
      <c r="H333" s="25"/>
      <c r="I333" s="25"/>
      <c r="J333" s="25"/>
      <c r="K333" s="25"/>
      <c r="L333" s="1" t="str">
        <f t="shared" si="22"/>
        <v/>
      </c>
      <c r="M333" s="1" t="str">
        <f t="shared" si="23"/>
        <v/>
      </c>
      <c r="N333" s="26"/>
      <c r="S333" s="27" t="str">
        <f t="shared" si="24"/>
        <v/>
      </c>
      <c r="T333" s="28" t="str">
        <f t="shared" si="20"/>
        <v/>
      </c>
      <c r="V333" t="str">
        <f t="shared" si="21"/>
        <v/>
      </c>
    </row>
    <row r="334" spans="1:22">
      <c r="A334" s="6"/>
      <c r="H334" s="25"/>
      <c r="I334" s="25"/>
      <c r="J334" s="25"/>
      <c r="K334" s="25"/>
      <c r="L334" s="1" t="str">
        <f t="shared" si="22"/>
        <v/>
      </c>
      <c r="M334" s="1" t="str">
        <f t="shared" si="23"/>
        <v/>
      </c>
      <c r="N334" s="26"/>
      <c r="S334" s="27" t="str">
        <f t="shared" si="24"/>
        <v/>
      </c>
      <c r="T334" s="28" t="str">
        <f t="shared" si="20"/>
        <v/>
      </c>
      <c r="V334" t="str">
        <f t="shared" si="21"/>
        <v/>
      </c>
    </row>
    <row r="335" spans="1:22">
      <c r="A335" s="6"/>
      <c r="H335" s="25"/>
      <c r="I335" s="25"/>
      <c r="J335" s="25"/>
      <c r="K335" s="25"/>
      <c r="L335" s="1" t="str">
        <f t="shared" si="22"/>
        <v/>
      </c>
      <c r="M335" s="1" t="str">
        <f t="shared" si="23"/>
        <v/>
      </c>
      <c r="N335" s="26"/>
      <c r="S335" s="27" t="str">
        <f t="shared" si="24"/>
        <v/>
      </c>
      <c r="T335" s="28" t="str">
        <f t="shared" si="20"/>
        <v/>
      </c>
      <c r="V335" t="str">
        <f t="shared" si="21"/>
        <v/>
      </c>
    </row>
    <row r="336" spans="1:22">
      <c r="A336" s="6"/>
      <c r="H336" s="25"/>
      <c r="I336" s="25"/>
      <c r="J336" s="25"/>
      <c r="K336" s="25"/>
      <c r="L336" s="1" t="str">
        <f t="shared" si="22"/>
        <v/>
      </c>
      <c r="M336" s="1" t="str">
        <f t="shared" si="23"/>
        <v/>
      </c>
      <c r="N336" s="26"/>
      <c r="S336" s="27" t="str">
        <f t="shared" si="24"/>
        <v/>
      </c>
      <c r="T336" s="28" t="str">
        <f t="shared" si="20"/>
        <v/>
      </c>
      <c r="V336" t="str">
        <f t="shared" si="21"/>
        <v/>
      </c>
    </row>
    <row r="337" spans="1:22">
      <c r="A337" s="6"/>
      <c r="H337" s="25"/>
      <c r="I337" s="25"/>
      <c r="J337" s="25"/>
      <c r="K337" s="25"/>
      <c r="L337" s="1" t="str">
        <f t="shared" si="22"/>
        <v/>
      </c>
      <c r="M337" s="1" t="str">
        <f t="shared" si="23"/>
        <v/>
      </c>
      <c r="N337" s="26"/>
      <c r="S337" s="27" t="str">
        <f t="shared" si="24"/>
        <v/>
      </c>
      <c r="T337" s="28" t="str">
        <f t="shared" si="20"/>
        <v/>
      </c>
      <c r="V337" t="str">
        <f t="shared" si="21"/>
        <v/>
      </c>
    </row>
    <row r="338" spans="1:22">
      <c r="A338" s="6"/>
      <c r="H338" s="25"/>
      <c r="I338" s="25"/>
      <c r="J338" s="25"/>
      <c r="K338" s="25"/>
      <c r="L338" s="1" t="str">
        <f t="shared" si="22"/>
        <v/>
      </c>
      <c r="M338" s="1" t="str">
        <f t="shared" si="23"/>
        <v/>
      </c>
      <c r="N338" s="26"/>
      <c r="S338" s="27" t="str">
        <f t="shared" si="24"/>
        <v/>
      </c>
      <c r="T338" s="28" t="str">
        <f t="shared" si="20"/>
        <v/>
      </c>
      <c r="V338" t="str">
        <f t="shared" si="21"/>
        <v/>
      </c>
    </row>
    <row r="339" spans="1:22">
      <c r="A339" s="6"/>
      <c r="H339" s="25"/>
      <c r="I339" s="25"/>
      <c r="J339" s="25"/>
      <c r="K339" s="25"/>
      <c r="L339" s="1" t="str">
        <f t="shared" si="22"/>
        <v/>
      </c>
      <c r="M339" s="1" t="str">
        <f t="shared" si="23"/>
        <v/>
      </c>
      <c r="N339" s="26"/>
      <c r="S339" s="27" t="str">
        <f t="shared" si="24"/>
        <v/>
      </c>
      <c r="T339" s="28" t="str">
        <f t="shared" si="20"/>
        <v/>
      </c>
      <c r="V339" t="str">
        <f t="shared" si="21"/>
        <v/>
      </c>
    </row>
    <row r="340" spans="1:22">
      <c r="A340" s="6"/>
      <c r="H340" s="25"/>
      <c r="I340" s="25"/>
      <c r="J340" s="25"/>
      <c r="K340" s="25"/>
      <c r="L340" s="1" t="str">
        <f t="shared" si="22"/>
        <v/>
      </c>
      <c r="M340" s="1" t="str">
        <f t="shared" si="23"/>
        <v/>
      </c>
      <c r="N340" s="26"/>
      <c r="S340" s="27" t="str">
        <f t="shared" si="24"/>
        <v/>
      </c>
      <c r="T340" s="28" t="str">
        <f t="shared" ref="T340:T403" si="25">IF($A340="","",IF(OR($S340="", $S340&lt;=0, $L340=""),"",ROUND($L340*24*$S340,2)))</f>
        <v/>
      </c>
      <c r="V340" t="str">
        <f t="shared" ref="V340:V403" si="26">IF($A340="","",IF(OR(YEAR($A340)&lt;2020,YEAR($A340)&gt;2030),"Podezřelé datum",IF(OR($F340="",$G340=""),"Chybí letiště",IF(OR($H340="",$I340="",$J340="",$K340=""),"Chybí čas",IF(OR($H340&gt;$I340,$I340&gt;$J340,$J340&gt;$K340),"Časy mimo pořadí",IF($M340&gt;$L340,"Air &gt; Block",IF(OR($S340="", $S340&lt;=0),"Chybí sazba","OK")))))))</f>
        <v/>
      </c>
    </row>
    <row r="341" spans="1:22">
      <c r="A341" s="6"/>
      <c r="H341" s="25"/>
      <c r="I341" s="25"/>
      <c r="J341" s="25"/>
      <c r="K341" s="25"/>
      <c r="L341" s="1" t="str">
        <f t="shared" si="22"/>
        <v/>
      </c>
      <c r="M341" s="1" t="str">
        <f t="shared" si="23"/>
        <v/>
      </c>
      <c r="N341" s="26"/>
      <c r="S341" s="27" t="str">
        <f t="shared" si="24"/>
        <v/>
      </c>
      <c r="T341" s="28" t="str">
        <f t="shared" si="25"/>
        <v/>
      </c>
      <c r="V341" t="str">
        <f t="shared" si="26"/>
        <v/>
      </c>
    </row>
    <row r="342" spans="1:22">
      <c r="A342" s="6"/>
      <c r="H342" s="25"/>
      <c r="I342" s="25"/>
      <c r="J342" s="25"/>
      <c r="K342" s="25"/>
      <c r="L342" s="1" t="str">
        <f t="shared" si="22"/>
        <v/>
      </c>
      <c r="M342" s="1" t="str">
        <f t="shared" si="23"/>
        <v/>
      </c>
      <c r="N342" s="26"/>
      <c r="S342" s="27" t="str">
        <f t="shared" si="24"/>
        <v/>
      </c>
      <c r="T342" s="28" t="str">
        <f t="shared" si="25"/>
        <v/>
      </c>
      <c r="V342" t="str">
        <f t="shared" si="26"/>
        <v/>
      </c>
    </row>
    <row r="343" spans="1:22">
      <c r="A343" s="6"/>
      <c r="H343" s="25"/>
      <c r="I343" s="25"/>
      <c r="J343" s="25"/>
      <c r="K343" s="25"/>
      <c r="L343" s="1" t="str">
        <f t="shared" si="22"/>
        <v/>
      </c>
      <c r="M343" s="1" t="str">
        <f t="shared" si="23"/>
        <v/>
      </c>
      <c r="N343" s="26"/>
      <c r="S343" s="27" t="str">
        <f t="shared" si="24"/>
        <v/>
      </c>
      <c r="T343" s="28" t="str">
        <f t="shared" si="25"/>
        <v/>
      </c>
      <c r="V343" t="str">
        <f t="shared" si="26"/>
        <v/>
      </c>
    </row>
    <row r="344" spans="1:22">
      <c r="A344" s="6"/>
      <c r="H344" s="25"/>
      <c r="I344" s="25"/>
      <c r="J344" s="25"/>
      <c r="K344" s="25"/>
      <c r="L344" s="1" t="str">
        <f t="shared" si="22"/>
        <v/>
      </c>
      <c r="M344" s="1" t="str">
        <f t="shared" si="23"/>
        <v/>
      </c>
      <c r="N344" s="26"/>
      <c r="S344" s="27" t="str">
        <f t="shared" si="24"/>
        <v/>
      </c>
      <c r="T344" s="28" t="str">
        <f t="shared" si="25"/>
        <v/>
      </c>
      <c r="V344" t="str">
        <f t="shared" si="26"/>
        <v/>
      </c>
    </row>
    <row r="345" spans="1:22">
      <c r="A345" s="6"/>
      <c r="H345" s="25"/>
      <c r="I345" s="25"/>
      <c r="J345" s="25"/>
      <c r="K345" s="25"/>
      <c r="L345" s="1" t="str">
        <f t="shared" si="22"/>
        <v/>
      </c>
      <c r="M345" s="1" t="str">
        <f t="shared" si="23"/>
        <v/>
      </c>
      <c r="N345" s="26"/>
      <c r="S345" s="27" t="str">
        <f t="shared" si="24"/>
        <v/>
      </c>
      <c r="T345" s="28" t="str">
        <f t="shared" si="25"/>
        <v/>
      </c>
      <c r="V345" t="str">
        <f t="shared" si="26"/>
        <v/>
      </c>
    </row>
    <row r="346" spans="1:22">
      <c r="A346" s="6"/>
      <c r="H346" s="25"/>
      <c r="I346" s="25"/>
      <c r="J346" s="25"/>
      <c r="K346" s="25"/>
      <c r="L346" s="1" t="str">
        <f t="shared" si="22"/>
        <v/>
      </c>
      <c r="M346" s="1" t="str">
        <f t="shared" si="23"/>
        <v/>
      </c>
      <c r="N346" s="26"/>
      <c r="S346" s="27" t="str">
        <f t="shared" si="24"/>
        <v/>
      </c>
      <c r="T346" s="28" t="str">
        <f t="shared" si="25"/>
        <v/>
      </c>
      <c r="V346" t="str">
        <f t="shared" si="26"/>
        <v/>
      </c>
    </row>
    <row r="347" spans="1:22">
      <c r="A347" s="6"/>
      <c r="H347" s="25"/>
      <c r="I347" s="25"/>
      <c r="J347" s="25"/>
      <c r="K347" s="25"/>
      <c r="L347" s="1" t="str">
        <f t="shared" si="22"/>
        <v/>
      </c>
      <c r="M347" s="1" t="str">
        <f t="shared" si="23"/>
        <v/>
      </c>
      <c r="N347" s="26"/>
      <c r="S347" s="27" t="str">
        <f t="shared" si="24"/>
        <v/>
      </c>
      <c r="T347" s="28" t="str">
        <f t="shared" si="25"/>
        <v/>
      </c>
      <c r="V347" t="str">
        <f t="shared" si="26"/>
        <v/>
      </c>
    </row>
    <row r="348" spans="1:22">
      <c r="A348" s="6"/>
      <c r="H348" s="25"/>
      <c r="I348" s="25"/>
      <c r="J348" s="25"/>
      <c r="K348" s="25"/>
      <c r="L348" s="1" t="str">
        <f t="shared" si="22"/>
        <v/>
      </c>
      <c r="M348" s="1" t="str">
        <f t="shared" si="23"/>
        <v/>
      </c>
      <c r="N348" s="26"/>
      <c r="S348" s="27" t="str">
        <f t="shared" si="24"/>
        <v/>
      </c>
      <c r="T348" s="28" t="str">
        <f t="shared" si="25"/>
        <v/>
      </c>
      <c r="V348" t="str">
        <f t="shared" si="26"/>
        <v/>
      </c>
    </row>
    <row r="349" spans="1:22">
      <c r="A349" s="6"/>
      <c r="H349" s="25"/>
      <c r="I349" s="25"/>
      <c r="J349" s="25"/>
      <c r="K349" s="25"/>
      <c r="L349" s="1" t="str">
        <f t="shared" si="22"/>
        <v/>
      </c>
      <c r="M349" s="1" t="str">
        <f t="shared" si="23"/>
        <v/>
      </c>
      <c r="N349" s="26"/>
      <c r="S349" s="27" t="str">
        <f t="shared" si="24"/>
        <v/>
      </c>
      <c r="T349" s="28" t="str">
        <f t="shared" si="25"/>
        <v/>
      </c>
      <c r="V349" t="str">
        <f t="shared" si="26"/>
        <v/>
      </c>
    </row>
    <row r="350" spans="1:22">
      <c r="A350" s="6"/>
      <c r="H350" s="25"/>
      <c r="I350" s="25"/>
      <c r="J350" s="25"/>
      <c r="K350" s="25"/>
      <c r="L350" s="1" t="str">
        <f t="shared" si="22"/>
        <v/>
      </c>
      <c r="M350" s="1" t="str">
        <f t="shared" si="23"/>
        <v/>
      </c>
      <c r="N350" s="26"/>
      <c r="S350" s="27" t="str">
        <f t="shared" si="24"/>
        <v/>
      </c>
      <c r="T350" s="28" t="str">
        <f t="shared" si="25"/>
        <v/>
      </c>
      <c r="V350" t="str">
        <f t="shared" si="26"/>
        <v/>
      </c>
    </row>
    <row r="351" spans="1:22">
      <c r="A351" s="6"/>
      <c r="H351" s="25"/>
      <c r="I351" s="25"/>
      <c r="J351" s="25"/>
      <c r="K351" s="25"/>
      <c r="L351" s="1" t="str">
        <f t="shared" si="22"/>
        <v/>
      </c>
      <c r="M351" s="1" t="str">
        <f t="shared" si="23"/>
        <v/>
      </c>
      <c r="N351" s="26"/>
      <c r="S351" s="27" t="str">
        <f t="shared" si="24"/>
        <v/>
      </c>
      <c r="T351" s="28" t="str">
        <f t="shared" si="25"/>
        <v/>
      </c>
      <c r="V351" t="str">
        <f t="shared" si="26"/>
        <v/>
      </c>
    </row>
    <row r="352" spans="1:22">
      <c r="A352" s="6"/>
      <c r="H352" s="25"/>
      <c r="I352" s="25"/>
      <c r="J352" s="25"/>
      <c r="K352" s="25"/>
      <c r="L352" s="1" t="str">
        <f t="shared" si="22"/>
        <v/>
      </c>
      <c r="M352" s="1" t="str">
        <f t="shared" si="23"/>
        <v/>
      </c>
      <c r="N352" s="26"/>
      <c r="S352" s="27" t="str">
        <f t="shared" si="24"/>
        <v/>
      </c>
      <c r="T352" s="28" t="str">
        <f t="shared" si="25"/>
        <v/>
      </c>
      <c r="V352" t="str">
        <f t="shared" si="26"/>
        <v/>
      </c>
    </row>
    <row r="353" spans="1:22">
      <c r="A353" s="6"/>
      <c r="H353" s="25"/>
      <c r="I353" s="25"/>
      <c r="J353" s="25"/>
      <c r="K353" s="25"/>
      <c r="L353" s="1" t="str">
        <f t="shared" si="22"/>
        <v/>
      </c>
      <c r="M353" s="1" t="str">
        <f t="shared" si="23"/>
        <v/>
      </c>
      <c r="N353" s="26"/>
      <c r="S353" s="27" t="str">
        <f t="shared" si="24"/>
        <v/>
      </c>
      <c r="T353" s="28" t="str">
        <f t="shared" si="25"/>
        <v/>
      </c>
      <c r="V353" t="str">
        <f t="shared" si="26"/>
        <v/>
      </c>
    </row>
    <row r="354" spans="1:22">
      <c r="A354" s="6"/>
      <c r="H354" s="25"/>
      <c r="I354" s="25"/>
      <c r="J354" s="25"/>
      <c r="K354" s="25"/>
      <c r="L354" s="1" t="str">
        <f t="shared" si="22"/>
        <v/>
      </c>
      <c r="M354" s="1" t="str">
        <f t="shared" si="23"/>
        <v/>
      </c>
      <c r="N354" s="26"/>
      <c r="S354" s="27" t="str">
        <f t="shared" si="24"/>
        <v/>
      </c>
      <c r="T354" s="28" t="str">
        <f t="shared" si="25"/>
        <v/>
      </c>
      <c r="V354" t="str">
        <f t="shared" si="26"/>
        <v/>
      </c>
    </row>
    <row r="355" spans="1:22">
      <c r="A355" s="6"/>
      <c r="H355" s="25"/>
      <c r="I355" s="25"/>
      <c r="J355" s="25"/>
      <c r="K355" s="25"/>
      <c r="L355" s="1" t="str">
        <f t="shared" si="22"/>
        <v/>
      </c>
      <c r="M355" s="1" t="str">
        <f t="shared" si="23"/>
        <v/>
      </c>
      <c r="N355" s="26"/>
      <c r="S355" s="27" t="str">
        <f t="shared" si="24"/>
        <v/>
      </c>
      <c r="T355" s="28" t="str">
        <f t="shared" si="25"/>
        <v/>
      </c>
      <c r="V355" t="str">
        <f t="shared" si="26"/>
        <v/>
      </c>
    </row>
    <row r="356" spans="1:22">
      <c r="A356" s="6"/>
      <c r="H356" s="25"/>
      <c r="I356" s="25"/>
      <c r="J356" s="25"/>
      <c r="K356" s="25"/>
      <c r="L356" s="1" t="str">
        <f t="shared" si="22"/>
        <v/>
      </c>
      <c r="M356" s="1" t="str">
        <f t="shared" si="23"/>
        <v/>
      </c>
      <c r="N356" s="26"/>
      <c r="S356" s="27" t="str">
        <f t="shared" si="24"/>
        <v/>
      </c>
      <c r="T356" s="28" t="str">
        <f t="shared" si="25"/>
        <v/>
      </c>
      <c r="V356" t="str">
        <f t="shared" si="26"/>
        <v/>
      </c>
    </row>
    <row r="357" spans="1:22">
      <c r="A357" s="6"/>
      <c r="H357" s="25"/>
      <c r="I357" s="25"/>
      <c r="J357" s="25"/>
      <c r="K357" s="25"/>
      <c r="L357" s="1" t="str">
        <f t="shared" si="22"/>
        <v/>
      </c>
      <c r="M357" s="1" t="str">
        <f t="shared" si="23"/>
        <v/>
      </c>
      <c r="N357" s="26"/>
      <c r="S357" s="27" t="str">
        <f t="shared" si="24"/>
        <v/>
      </c>
      <c r="T357" s="28" t="str">
        <f t="shared" si="25"/>
        <v/>
      </c>
      <c r="V357" t="str">
        <f t="shared" si="26"/>
        <v/>
      </c>
    </row>
    <row r="358" spans="1:22">
      <c r="A358" s="6"/>
      <c r="H358" s="25"/>
      <c r="I358" s="25"/>
      <c r="J358" s="25"/>
      <c r="K358" s="25"/>
      <c r="L358" s="1" t="str">
        <f t="shared" si="22"/>
        <v/>
      </c>
      <c r="M358" s="1" t="str">
        <f t="shared" si="23"/>
        <v/>
      </c>
      <c r="N358" s="26"/>
      <c r="S358" s="27" t="str">
        <f t="shared" si="24"/>
        <v/>
      </c>
      <c r="T358" s="28" t="str">
        <f t="shared" si="25"/>
        <v/>
      </c>
      <c r="V358" t="str">
        <f t="shared" si="26"/>
        <v/>
      </c>
    </row>
    <row r="359" spans="1:22">
      <c r="A359" s="6"/>
      <c r="H359" s="25"/>
      <c r="I359" s="25"/>
      <c r="J359" s="25"/>
      <c r="K359" s="25"/>
      <c r="L359" s="1" t="str">
        <f t="shared" si="22"/>
        <v/>
      </c>
      <c r="M359" s="1" t="str">
        <f t="shared" si="23"/>
        <v/>
      </c>
      <c r="N359" s="26"/>
      <c r="S359" s="27" t="str">
        <f t="shared" si="24"/>
        <v/>
      </c>
      <c r="T359" s="28" t="str">
        <f t="shared" si="25"/>
        <v/>
      </c>
      <c r="V359" t="str">
        <f t="shared" si="26"/>
        <v/>
      </c>
    </row>
    <row r="360" spans="1:22">
      <c r="A360" s="6"/>
      <c r="H360" s="25"/>
      <c r="I360" s="25"/>
      <c r="J360" s="25"/>
      <c r="K360" s="25"/>
      <c r="L360" s="1" t="str">
        <f t="shared" si="22"/>
        <v/>
      </c>
      <c r="M360" s="1" t="str">
        <f t="shared" si="23"/>
        <v/>
      </c>
      <c r="N360" s="26"/>
      <c r="S360" s="27" t="str">
        <f t="shared" si="24"/>
        <v/>
      </c>
      <c r="T360" s="28" t="str">
        <f t="shared" si="25"/>
        <v/>
      </c>
      <c r="V360" t="str">
        <f t="shared" si="26"/>
        <v/>
      </c>
    </row>
    <row r="361" spans="1:22">
      <c r="A361" s="6"/>
      <c r="H361" s="25"/>
      <c r="I361" s="25"/>
      <c r="J361" s="25"/>
      <c r="K361" s="25"/>
      <c r="L361" s="1" t="str">
        <f t="shared" si="22"/>
        <v/>
      </c>
      <c r="M361" s="1" t="str">
        <f t="shared" si="23"/>
        <v/>
      </c>
      <c r="N361" s="26"/>
      <c r="S361" s="27" t="str">
        <f t="shared" si="24"/>
        <v/>
      </c>
      <c r="T361" s="28" t="str">
        <f t="shared" si="25"/>
        <v/>
      </c>
      <c r="V361" t="str">
        <f t="shared" si="26"/>
        <v/>
      </c>
    </row>
    <row r="362" spans="1:22">
      <c r="A362" s="6"/>
      <c r="H362" s="25"/>
      <c r="I362" s="25"/>
      <c r="J362" s="25"/>
      <c r="K362" s="25"/>
      <c r="L362" s="1" t="str">
        <f t="shared" si="22"/>
        <v/>
      </c>
      <c r="M362" s="1" t="str">
        <f t="shared" si="23"/>
        <v/>
      </c>
      <c r="N362" s="26"/>
      <c r="S362" s="27" t="str">
        <f t="shared" si="24"/>
        <v/>
      </c>
      <c r="T362" s="28" t="str">
        <f t="shared" si="25"/>
        <v/>
      </c>
      <c r="V362" t="str">
        <f t="shared" si="26"/>
        <v/>
      </c>
    </row>
    <row r="363" spans="1:22">
      <c r="A363" s="6"/>
      <c r="H363" s="25"/>
      <c r="I363" s="25"/>
      <c r="J363" s="25"/>
      <c r="K363" s="25"/>
      <c r="L363" s="1" t="str">
        <f t="shared" si="22"/>
        <v/>
      </c>
      <c r="M363" s="1" t="str">
        <f t="shared" si="23"/>
        <v/>
      </c>
      <c r="N363" s="26"/>
      <c r="S363" s="27" t="str">
        <f t="shared" si="24"/>
        <v/>
      </c>
      <c r="T363" s="28" t="str">
        <f t="shared" si="25"/>
        <v/>
      </c>
      <c r="V363" t="str">
        <f t="shared" si="26"/>
        <v/>
      </c>
    </row>
    <row r="364" spans="1:22">
      <c r="A364" s="6"/>
      <c r="H364" s="25"/>
      <c r="I364" s="25"/>
      <c r="J364" s="25"/>
      <c r="K364" s="25"/>
      <c r="L364" s="1" t="str">
        <f t="shared" si="22"/>
        <v/>
      </c>
      <c r="M364" s="1" t="str">
        <f t="shared" si="23"/>
        <v/>
      </c>
      <c r="N364" s="26"/>
      <c r="S364" s="27" t="str">
        <f t="shared" si="24"/>
        <v/>
      </c>
      <c r="T364" s="28" t="str">
        <f t="shared" si="25"/>
        <v/>
      </c>
      <c r="V364" t="str">
        <f t="shared" si="26"/>
        <v/>
      </c>
    </row>
    <row r="365" spans="1:22">
      <c r="A365" s="6"/>
      <c r="H365" s="25"/>
      <c r="I365" s="25"/>
      <c r="J365" s="25"/>
      <c r="K365" s="25"/>
      <c r="L365" s="1" t="str">
        <f t="shared" si="22"/>
        <v/>
      </c>
      <c r="M365" s="1" t="str">
        <f t="shared" si="23"/>
        <v/>
      </c>
      <c r="N365" s="26"/>
      <c r="S365" s="27" t="str">
        <f t="shared" si="24"/>
        <v/>
      </c>
      <c r="T365" s="28" t="str">
        <f t="shared" si="25"/>
        <v/>
      </c>
      <c r="V365" t="str">
        <f t="shared" si="26"/>
        <v/>
      </c>
    </row>
    <row r="366" spans="1:22">
      <c r="A366" s="6"/>
      <c r="H366" s="25"/>
      <c r="I366" s="25"/>
      <c r="J366" s="25"/>
      <c r="K366" s="25"/>
      <c r="L366" s="1" t="str">
        <f t="shared" si="22"/>
        <v/>
      </c>
      <c r="M366" s="1" t="str">
        <f t="shared" si="23"/>
        <v/>
      </c>
      <c r="N366" s="26"/>
      <c r="S366" s="27" t="str">
        <f t="shared" si="24"/>
        <v/>
      </c>
      <c r="T366" s="28" t="str">
        <f t="shared" si="25"/>
        <v/>
      </c>
      <c r="V366" t="str">
        <f t="shared" si="26"/>
        <v/>
      </c>
    </row>
    <row r="367" spans="1:22">
      <c r="A367" s="6"/>
      <c r="H367" s="25"/>
      <c r="I367" s="25"/>
      <c r="J367" s="25"/>
      <c r="K367" s="25"/>
      <c r="L367" s="1" t="str">
        <f t="shared" si="22"/>
        <v/>
      </c>
      <c r="M367" s="1" t="str">
        <f t="shared" si="23"/>
        <v/>
      </c>
      <c r="N367" s="26"/>
      <c r="S367" s="27" t="str">
        <f t="shared" si="24"/>
        <v/>
      </c>
      <c r="T367" s="28" t="str">
        <f t="shared" si="25"/>
        <v/>
      </c>
      <c r="V367" t="str">
        <f t="shared" si="26"/>
        <v/>
      </c>
    </row>
    <row r="368" spans="1:22">
      <c r="A368" s="6"/>
      <c r="H368" s="25"/>
      <c r="I368" s="25"/>
      <c r="J368" s="25"/>
      <c r="K368" s="25"/>
      <c r="L368" s="1" t="str">
        <f t="shared" si="22"/>
        <v/>
      </c>
      <c r="M368" s="1" t="str">
        <f t="shared" si="23"/>
        <v/>
      </c>
      <c r="N368" s="26"/>
      <c r="S368" s="27" t="str">
        <f t="shared" si="24"/>
        <v/>
      </c>
      <c r="T368" s="28" t="str">
        <f t="shared" si="25"/>
        <v/>
      </c>
      <c r="V368" t="str">
        <f t="shared" si="26"/>
        <v/>
      </c>
    </row>
    <row r="369" spans="1:22">
      <c r="A369" s="6"/>
      <c r="H369" s="25"/>
      <c r="I369" s="25"/>
      <c r="J369" s="25"/>
      <c r="K369" s="25"/>
      <c r="L369" s="1" t="str">
        <f t="shared" si="22"/>
        <v/>
      </c>
      <c r="M369" s="1" t="str">
        <f t="shared" si="23"/>
        <v/>
      </c>
      <c r="N369" s="26"/>
      <c r="S369" s="27" t="str">
        <f t="shared" si="24"/>
        <v/>
      </c>
      <c r="T369" s="28" t="str">
        <f t="shared" si="25"/>
        <v/>
      </c>
      <c r="V369" t="str">
        <f t="shared" si="26"/>
        <v/>
      </c>
    </row>
    <row r="370" spans="1:22">
      <c r="A370" s="6"/>
      <c r="H370" s="25"/>
      <c r="I370" s="25"/>
      <c r="J370" s="25"/>
      <c r="K370" s="25"/>
      <c r="L370" s="1" t="str">
        <f t="shared" si="22"/>
        <v/>
      </c>
      <c r="M370" s="1" t="str">
        <f t="shared" si="23"/>
        <v/>
      </c>
      <c r="N370" s="26"/>
      <c r="S370" s="27" t="str">
        <f t="shared" si="24"/>
        <v/>
      </c>
      <c r="T370" s="28" t="str">
        <f t="shared" si="25"/>
        <v/>
      </c>
      <c r="V370" t="str">
        <f t="shared" si="26"/>
        <v/>
      </c>
    </row>
    <row r="371" spans="1:22">
      <c r="A371" s="6"/>
      <c r="H371" s="25"/>
      <c r="I371" s="25"/>
      <c r="J371" s="25"/>
      <c r="K371" s="25"/>
      <c r="L371" s="1" t="str">
        <f t="shared" si="22"/>
        <v/>
      </c>
      <c r="M371" s="1" t="str">
        <f t="shared" si="23"/>
        <v/>
      </c>
      <c r="N371" s="26"/>
      <c r="S371" s="27" t="str">
        <f t="shared" si="24"/>
        <v/>
      </c>
      <c r="T371" s="28" t="str">
        <f t="shared" si="25"/>
        <v/>
      </c>
      <c r="V371" t="str">
        <f t="shared" si="26"/>
        <v/>
      </c>
    </row>
    <row r="372" spans="1:22">
      <c r="A372" s="6"/>
      <c r="H372" s="25"/>
      <c r="I372" s="25"/>
      <c r="J372" s="25"/>
      <c r="K372" s="25"/>
      <c r="L372" s="1" t="str">
        <f t="shared" si="22"/>
        <v/>
      </c>
      <c r="M372" s="1" t="str">
        <f t="shared" si="23"/>
        <v/>
      </c>
      <c r="N372" s="26"/>
      <c r="S372" s="27" t="str">
        <f t="shared" si="24"/>
        <v/>
      </c>
      <c r="T372" s="28" t="str">
        <f t="shared" si="25"/>
        <v/>
      </c>
      <c r="V372" t="str">
        <f t="shared" si="26"/>
        <v/>
      </c>
    </row>
    <row r="373" spans="1:22">
      <c r="A373" s="6"/>
      <c r="H373" s="25"/>
      <c r="I373" s="25"/>
      <c r="J373" s="25"/>
      <c r="K373" s="25"/>
      <c r="L373" s="1" t="str">
        <f t="shared" si="22"/>
        <v/>
      </c>
      <c r="M373" s="1" t="str">
        <f t="shared" si="23"/>
        <v/>
      </c>
      <c r="N373" s="26"/>
      <c r="S373" s="27" t="str">
        <f t="shared" si="24"/>
        <v/>
      </c>
      <c r="T373" s="28" t="str">
        <f t="shared" si="25"/>
        <v/>
      </c>
      <c r="V373" t="str">
        <f t="shared" si="26"/>
        <v/>
      </c>
    </row>
    <row r="374" spans="1:22">
      <c r="A374" s="6"/>
      <c r="H374" s="25"/>
      <c r="I374" s="25"/>
      <c r="J374" s="25"/>
      <c r="K374" s="25"/>
      <c r="L374" s="1" t="str">
        <f t="shared" si="22"/>
        <v/>
      </c>
      <c r="M374" s="1" t="str">
        <f t="shared" si="23"/>
        <v/>
      </c>
      <c r="N374" s="26"/>
      <c r="S374" s="27" t="str">
        <f t="shared" si="24"/>
        <v/>
      </c>
      <c r="T374" s="28" t="str">
        <f t="shared" si="25"/>
        <v/>
      </c>
      <c r="V374" t="str">
        <f t="shared" si="26"/>
        <v/>
      </c>
    </row>
    <row r="375" spans="1:22">
      <c r="A375" s="6"/>
      <c r="H375" s="25"/>
      <c r="I375" s="25"/>
      <c r="J375" s="25"/>
      <c r="K375" s="25"/>
      <c r="L375" s="1" t="str">
        <f t="shared" si="22"/>
        <v/>
      </c>
      <c r="M375" s="1" t="str">
        <f t="shared" si="23"/>
        <v/>
      </c>
      <c r="N375" s="26"/>
      <c r="S375" s="27" t="str">
        <f t="shared" si="24"/>
        <v/>
      </c>
      <c r="T375" s="28" t="str">
        <f t="shared" si="25"/>
        <v/>
      </c>
      <c r="V375" t="str">
        <f t="shared" si="26"/>
        <v/>
      </c>
    </row>
    <row r="376" spans="1:22">
      <c r="A376" s="6"/>
      <c r="H376" s="25"/>
      <c r="I376" s="25"/>
      <c r="J376" s="25"/>
      <c r="K376" s="25"/>
      <c r="L376" s="1" t="str">
        <f t="shared" si="22"/>
        <v/>
      </c>
      <c r="M376" s="1" t="str">
        <f t="shared" si="23"/>
        <v/>
      </c>
      <c r="N376" s="26"/>
      <c r="S376" s="27" t="str">
        <f t="shared" si="24"/>
        <v/>
      </c>
      <c r="T376" s="28" t="str">
        <f t="shared" si="25"/>
        <v/>
      </c>
      <c r="V376" t="str">
        <f t="shared" si="26"/>
        <v/>
      </c>
    </row>
    <row r="377" spans="1:22">
      <c r="A377" s="6"/>
      <c r="H377" s="25"/>
      <c r="I377" s="25"/>
      <c r="J377" s="25"/>
      <c r="K377" s="25"/>
      <c r="L377" s="1" t="str">
        <f t="shared" si="22"/>
        <v/>
      </c>
      <c r="M377" s="1" t="str">
        <f t="shared" si="23"/>
        <v/>
      </c>
      <c r="N377" s="26"/>
      <c r="S377" s="27" t="str">
        <f t="shared" si="24"/>
        <v/>
      </c>
      <c r="T377" s="28" t="str">
        <f t="shared" si="25"/>
        <v/>
      </c>
      <c r="V377" t="str">
        <f t="shared" si="26"/>
        <v/>
      </c>
    </row>
    <row r="378" spans="1:22">
      <c r="A378" s="6"/>
      <c r="H378" s="25"/>
      <c r="I378" s="25"/>
      <c r="J378" s="25"/>
      <c r="K378" s="25"/>
      <c r="L378" s="1" t="str">
        <f t="shared" si="22"/>
        <v/>
      </c>
      <c r="M378" s="1" t="str">
        <f t="shared" si="23"/>
        <v/>
      </c>
      <c r="N378" s="26"/>
      <c r="S378" s="27" t="str">
        <f t="shared" si="24"/>
        <v/>
      </c>
      <c r="T378" s="28" t="str">
        <f t="shared" si="25"/>
        <v/>
      </c>
      <c r="V378" t="str">
        <f t="shared" si="26"/>
        <v/>
      </c>
    </row>
    <row r="379" spans="1:22">
      <c r="A379" s="6"/>
      <c r="H379" s="25"/>
      <c r="I379" s="25"/>
      <c r="J379" s="25"/>
      <c r="K379" s="25"/>
      <c r="L379" s="1" t="str">
        <f t="shared" si="22"/>
        <v/>
      </c>
      <c r="M379" s="1" t="str">
        <f t="shared" si="23"/>
        <v/>
      </c>
      <c r="N379" s="26"/>
      <c r="S379" s="27" t="str">
        <f t="shared" si="24"/>
        <v/>
      </c>
      <c r="T379" s="28" t="str">
        <f t="shared" si="25"/>
        <v/>
      </c>
      <c r="V379" t="str">
        <f t="shared" si="26"/>
        <v/>
      </c>
    </row>
    <row r="380" spans="1:22">
      <c r="A380" s="6"/>
      <c r="H380" s="25"/>
      <c r="I380" s="25"/>
      <c r="J380" s="25"/>
      <c r="K380" s="25"/>
      <c r="L380" s="1" t="str">
        <f t="shared" si="22"/>
        <v/>
      </c>
      <c r="M380" s="1" t="str">
        <f t="shared" si="23"/>
        <v/>
      </c>
      <c r="N380" s="26"/>
      <c r="S380" s="27" t="str">
        <f t="shared" si="24"/>
        <v/>
      </c>
      <c r="T380" s="28" t="str">
        <f t="shared" si="25"/>
        <v/>
      </c>
      <c r="V380" t="str">
        <f t="shared" si="26"/>
        <v/>
      </c>
    </row>
    <row r="381" spans="1:22">
      <c r="A381" s="6"/>
      <c r="H381" s="25"/>
      <c r="I381" s="25"/>
      <c r="J381" s="25"/>
      <c r="K381" s="25"/>
      <c r="L381" s="1" t="str">
        <f t="shared" si="22"/>
        <v/>
      </c>
      <c r="M381" s="1" t="str">
        <f t="shared" si="23"/>
        <v/>
      </c>
      <c r="N381" s="26"/>
      <c r="S381" s="27" t="str">
        <f t="shared" si="24"/>
        <v/>
      </c>
      <c r="T381" s="28" t="str">
        <f t="shared" si="25"/>
        <v/>
      </c>
      <c r="V381" t="str">
        <f t="shared" si="26"/>
        <v/>
      </c>
    </row>
    <row r="382" spans="1:22">
      <c r="A382" s="6"/>
      <c r="H382" s="25"/>
      <c r="I382" s="25"/>
      <c r="J382" s="25"/>
      <c r="K382" s="25"/>
      <c r="L382" s="1" t="str">
        <f t="shared" si="22"/>
        <v/>
      </c>
      <c r="M382" s="1" t="str">
        <f t="shared" si="23"/>
        <v/>
      </c>
      <c r="N382" s="26"/>
      <c r="S382" s="27" t="str">
        <f t="shared" si="24"/>
        <v/>
      </c>
      <c r="T382" s="28" t="str">
        <f t="shared" si="25"/>
        <v/>
      </c>
      <c r="V382" t="str">
        <f t="shared" si="26"/>
        <v/>
      </c>
    </row>
    <row r="383" spans="1:22">
      <c r="A383" s="6"/>
      <c r="H383" s="25"/>
      <c r="I383" s="25"/>
      <c r="J383" s="25"/>
      <c r="K383" s="25"/>
      <c r="L383" s="1" t="str">
        <f t="shared" si="22"/>
        <v/>
      </c>
      <c r="M383" s="1" t="str">
        <f t="shared" si="23"/>
        <v/>
      </c>
      <c r="N383" s="26"/>
      <c r="S383" s="27" t="str">
        <f t="shared" si="24"/>
        <v/>
      </c>
      <c r="T383" s="28" t="str">
        <f t="shared" si="25"/>
        <v/>
      </c>
      <c r="V383" t="str">
        <f t="shared" si="26"/>
        <v/>
      </c>
    </row>
    <row r="384" spans="1:22">
      <c r="A384" s="6"/>
      <c r="H384" s="25"/>
      <c r="I384" s="25"/>
      <c r="J384" s="25"/>
      <c r="K384" s="25"/>
      <c r="L384" s="1" t="str">
        <f t="shared" si="22"/>
        <v/>
      </c>
      <c r="M384" s="1" t="str">
        <f t="shared" si="23"/>
        <v/>
      </c>
      <c r="N384" s="26"/>
      <c r="S384" s="27" t="str">
        <f t="shared" si="24"/>
        <v/>
      </c>
      <c r="T384" s="28" t="str">
        <f t="shared" si="25"/>
        <v/>
      </c>
      <c r="V384" t="str">
        <f t="shared" si="26"/>
        <v/>
      </c>
    </row>
    <row r="385" spans="1:22">
      <c r="A385" s="6"/>
      <c r="H385" s="25"/>
      <c r="I385" s="25"/>
      <c r="J385" s="25"/>
      <c r="K385" s="25"/>
      <c r="L385" s="1" t="str">
        <f t="shared" si="22"/>
        <v/>
      </c>
      <c r="M385" s="1" t="str">
        <f t="shared" si="23"/>
        <v/>
      </c>
      <c r="N385" s="26"/>
      <c r="S385" s="27" t="str">
        <f t="shared" si="24"/>
        <v/>
      </c>
      <c r="T385" s="28" t="str">
        <f t="shared" si="25"/>
        <v/>
      </c>
      <c r="V385" t="str">
        <f t="shared" si="26"/>
        <v/>
      </c>
    </row>
    <row r="386" spans="1:22">
      <c r="A386" s="6"/>
      <c r="H386" s="25"/>
      <c r="I386" s="25"/>
      <c r="J386" s="25"/>
      <c r="K386" s="25"/>
      <c r="L386" s="1" t="str">
        <f t="shared" ref="L386:L449" si="27">IF($A386="","",IF(AND(ISNUMBER($H386),ISNUMBER($K386)),MOD($K386-$H386,1),""))</f>
        <v/>
      </c>
      <c r="M386" s="1" t="str">
        <f t="shared" ref="M386:M449" si="28">IF($A386="","",IF(AND(ISNUMBER($I386),ISNUMBER($J386)),MOD($J386-$I386,1),""))</f>
        <v/>
      </c>
      <c r="N386" s="26"/>
      <c r="S386" s="27" t="str">
        <f t="shared" si="24"/>
        <v/>
      </c>
      <c r="T386" s="28" t="str">
        <f t="shared" si="25"/>
        <v/>
      </c>
      <c r="V386" t="str">
        <f t="shared" si="26"/>
        <v/>
      </c>
    </row>
    <row r="387" spans="1:22">
      <c r="A387" s="6"/>
      <c r="H387" s="25"/>
      <c r="I387" s="25"/>
      <c r="J387" s="25"/>
      <c r="K387" s="25"/>
      <c r="L387" s="1" t="str">
        <f t="shared" si="27"/>
        <v/>
      </c>
      <c r="M387" s="1" t="str">
        <f t="shared" si="28"/>
        <v/>
      </c>
      <c r="N387" s="26"/>
      <c r="S387" s="27" t="str">
        <f t="shared" si="24"/>
        <v/>
      </c>
      <c r="T387" s="28" t="str">
        <f t="shared" si="25"/>
        <v/>
      </c>
      <c r="V387" t="str">
        <f t="shared" si="26"/>
        <v/>
      </c>
    </row>
    <row r="388" spans="1:22">
      <c r="A388" s="6"/>
      <c r="H388" s="25"/>
      <c r="I388" s="25"/>
      <c r="J388" s="25"/>
      <c r="K388" s="25"/>
      <c r="L388" s="1" t="str">
        <f t="shared" si="27"/>
        <v/>
      </c>
      <c r="M388" s="1" t="str">
        <f t="shared" si="28"/>
        <v/>
      </c>
      <c r="N388" s="26"/>
      <c r="S388" s="27" t="str">
        <f t="shared" si="24"/>
        <v/>
      </c>
      <c r="T388" s="28" t="str">
        <f t="shared" si="25"/>
        <v/>
      </c>
      <c r="V388" t="str">
        <f t="shared" si="26"/>
        <v/>
      </c>
    </row>
    <row r="389" spans="1:22">
      <c r="A389" s="6"/>
      <c r="H389" s="25"/>
      <c r="I389" s="25"/>
      <c r="J389" s="25"/>
      <c r="K389" s="25"/>
      <c r="L389" s="1" t="str">
        <f t="shared" si="27"/>
        <v/>
      </c>
      <c r="M389" s="1" t="str">
        <f t="shared" si="28"/>
        <v/>
      </c>
      <c r="N389" s="26"/>
      <c r="S389" s="27" t="str">
        <f t="shared" ref="S389:S452" si="29">IF($C389="","",IF($C389="3344",450,IF($C389="5194",320,IF($C389="6606",290,IF($C389="7430",290,IF($C389="8115",2080,IF($C389="8205",450,IF($C389="8441",260,IF($C389="OK-BIC",3060,IF($C389="OK-BID",3060,IF($C389="OK-BIK",2700,IF($C389="OK-BIL",3060,IF($C389="OK-BIN",3060,IF($C389="OK-BIR",3060,IF($C389="OK-BUG12",2150,IF($C389="OK-CUG23",2370,IF($C389="OK-DAS",5600,IF($C389="OK-DOD",4420,IF($C389="OK-DPH",5000,IF($C389="OK-DUI89",2250,IF($C389="OK-DUI94",4000,IF($C389="OK-EUI10",2250,IF($C389="OK-EUI21",4000,IF($C389="OK-IAF",3060,IF($C389="OK-MPK",3820,IF($C389="OK-NUU90",2080,IF($C389="OK-UUR14",2250,IF($C389="OK-WUS17",3500,IF($C389="OK-XAI04",1860,"")))))))))))))))))))))))))))))</f>
        <v/>
      </c>
      <c r="T389" s="28" t="str">
        <f t="shared" si="25"/>
        <v/>
      </c>
      <c r="V389" t="str">
        <f t="shared" si="26"/>
        <v/>
      </c>
    </row>
    <row r="390" spans="1:22">
      <c r="A390" s="6"/>
      <c r="H390" s="25"/>
      <c r="I390" s="25"/>
      <c r="J390" s="25"/>
      <c r="K390" s="25"/>
      <c r="L390" s="1" t="str">
        <f t="shared" si="27"/>
        <v/>
      </c>
      <c r="M390" s="1" t="str">
        <f t="shared" si="28"/>
        <v/>
      </c>
      <c r="N390" s="26"/>
      <c r="S390" s="27" t="str">
        <f t="shared" si="29"/>
        <v/>
      </c>
      <c r="T390" s="28" t="str">
        <f t="shared" si="25"/>
        <v/>
      </c>
      <c r="V390" t="str">
        <f t="shared" si="26"/>
        <v/>
      </c>
    </row>
    <row r="391" spans="1:22">
      <c r="A391" s="6"/>
      <c r="H391" s="25"/>
      <c r="I391" s="25"/>
      <c r="J391" s="25"/>
      <c r="K391" s="25"/>
      <c r="L391" s="1" t="str">
        <f t="shared" si="27"/>
        <v/>
      </c>
      <c r="M391" s="1" t="str">
        <f t="shared" si="28"/>
        <v/>
      </c>
      <c r="N391" s="26"/>
      <c r="S391" s="27" t="str">
        <f t="shared" si="29"/>
        <v/>
      </c>
      <c r="T391" s="28" t="str">
        <f t="shared" si="25"/>
        <v/>
      </c>
      <c r="V391" t="str">
        <f t="shared" si="26"/>
        <v/>
      </c>
    </row>
    <row r="392" spans="1:22">
      <c r="A392" s="6"/>
      <c r="H392" s="25"/>
      <c r="I392" s="25"/>
      <c r="J392" s="25"/>
      <c r="K392" s="25"/>
      <c r="L392" s="1" t="str">
        <f t="shared" si="27"/>
        <v/>
      </c>
      <c r="M392" s="1" t="str">
        <f t="shared" si="28"/>
        <v/>
      </c>
      <c r="N392" s="26"/>
      <c r="S392" s="27" t="str">
        <f t="shared" si="29"/>
        <v/>
      </c>
      <c r="T392" s="28" t="str">
        <f t="shared" si="25"/>
        <v/>
      </c>
      <c r="V392" t="str">
        <f t="shared" si="26"/>
        <v/>
      </c>
    </row>
    <row r="393" spans="1:22">
      <c r="A393" s="6"/>
      <c r="H393" s="25"/>
      <c r="I393" s="25"/>
      <c r="J393" s="25"/>
      <c r="K393" s="25"/>
      <c r="L393" s="1" t="str">
        <f t="shared" si="27"/>
        <v/>
      </c>
      <c r="M393" s="1" t="str">
        <f t="shared" si="28"/>
        <v/>
      </c>
      <c r="N393" s="26"/>
      <c r="S393" s="27" t="str">
        <f t="shared" si="29"/>
        <v/>
      </c>
      <c r="T393" s="28" t="str">
        <f t="shared" si="25"/>
        <v/>
      </c>
      <c r="V393" t="str">
        <f t="shared" si="26"/>
        <v/>
      </c>
    </row>
    <row r="394" spans="1:22">
      <c r="A394" s="6"/>
      <c r="H394" s="25"/>
      <c r="I394" s="25"/>
      <c r="J394" s="25"/>
      <c r="K394" s="25"/>
      <c r="L394" s="1" t="str">
        <f t="shared" si="27"/>
        <v/>
      </c>
      <c r="M394" s="1" t="str">
        <f t="shared" si="28"/>
        <v/>
      </c>
      <c r="N394" s="26"/>
      <c r="S394" s="27" t="str">
        <f t="shared" si="29"/>
        <v/>
      </c>
      <c r="T394" s="28" t="str">
        <f t="shared" si="25"/>
        <v/>
      </c>
      <c r="V394" t="str">
        <f t="shared" si="26"/>
        <v/>
      </c>
    </row>
    <row r="395" spans="1:22">
      <c r="A395" s="6"/>
      <c r="H395" s="25"/>
      <c r="I395" s="25"/>
      <c r="J395" s="25"/>
      <c r="K395" s="25"/>
      <c r="L395" s="1" t="str">
        <f t="shared" si="27"/>
        <v/>
      </c>
      <c r="M395" s="1" t="str">
        <f t="shared" si="28"/>
        <v/>
      </c>
      <c r="N395" s="26"/>
      <c r="S395" s="27" t="str">
        <f t="shared" si="29"/>
        <v/>
      </c>
      <c r="T395" s="28" t="str">
        <f t="shared" si="25"/>
        <v/>
      </c>
      <c r="V395" t="str">
        <f t="shared" si="26"/>
        <v/>
      </c>
    </row>
    <row r="396" spans="1:22">
      <c r="A396" s="6"/>
      <c r="H396" s="25"/>
      <c r="I396" s="25"/>
      <c r="J396" s="25"/>
      <c r="K396" s="25"/>
      <c r="L396" s="1" t="str">
        <f t="shared" si="27"/>
        <v/>
      </c>
      <c r="M396" s="1" t="str">
        <f t="shared" si="28"/>
        <v/>
      </c>
      <c r="N396" s="26"/>
      <c r="S396" s="27" t="str">
        <f t="shared" si="29"/>
        <v/>
      </c>
      <c r="T396" s="28" t="str">
        <f t="shared" si="25"/>
        <v/>
      </c>
      <c r="V396" t="str">
        <f t="shared" si="26"/>
        <v/>
      </c>
    </row>
    <row r="397" spans="1:22">
      <c r="A397" s="6"/>
      <c r="H397" s="25"/>
      <c r="I397" s="25"/>
      <c r="J397" s="25"/>
      <c r="K397" s="25"/>
      <c r="L397" s="1" t="str">
        <f t="shared" si="27"/>
        <v/>
      </c>
      <c r="M397" s="1" t="str">
        <f t="shared" si="28"/>
        <v/>
      </c>
      <c r="N397" s="26"/>
      <c r="S397" s="27" t="str">
        <f t="shared" si="29"/>
        <v/>
      </c>
      <c r="T397" s="28" t="str">
        <f t="shared" si="25"/>
        <v/>
      </c>
      <c r="V397" t="str">
        <f t="shared" si="26"/>
        <v/>
      </c>
    </row>
    <row r="398" spans="1:22">
      <c r="A398" s="6"/>
      <c r="H398" s="25"/>
      <c r="I398" s="25"/>
      <c r="J398" s="25"/>
      <c r="K398" s="25"/>
      <c r="L398" s="1" t="str">
        <f t="shared" si="27"/>
        <v/>
      </c>
      <c r="M398" s="1" t="str">
        <f t="shared" si="28"/>
        <v/>
      </c>
      <c r="N398" s="26"/>
      <c r="S398" s="27" t="str">
        <f t="shared" si="29"/>
        <v/>
      </c>
      <c r="T398" s="28" t="str">
        <f t="shared" si="25"/>
        <v/>
      </c>
      <c r="V398" t="str">
        <f t="shared" si="26"/>
        <v/>
      </c>
    </row>
    <row r="399" spans="1:22">
      <c r="A399" s="6"/>
      <c r="H399" s="25"/>
      <c r="I399" s="25"/>
      <c r="J399" s="25"/>
      <c r="K399" s="25"/>
      <c r="L399" s="1" t="str">
        <f t="shared" si="27"/>
        <v/>
      </c>
      <c r="M399" s="1" t="str">
        <f t="shared" si="28"/>
        <v/>
      </c>
      <c r="N399" s="26"/>
      <c r="S399" s="27" t="str">
        <f t="shared" si="29"/>
        <v/>
      </c>
      <c r="T399" s="28" t="str">
        <f t="shared" si="25"/>
        <v/>
      </c>
      <c r="V399" t="str">
        <f t="shared" si="26"/>
        <v/>
      </c>
    </row>
    <row r="400" spans="1:22">
      <c r="A400" s="6"/>
      <c r="H400" s="25"/>
      <c r="I400" s="25"/>
      <c r="J400" s="25"/>
      <c r="K400" s="25"/>
      <c r="L400" s="1" t="str">
        <f t="shared" si="27"/>
        <v/>
      </c>
      <c r="M400" s="1" t="str">
        <f t="shared" si="28"/>
        <v/>
      </c>
      <c r="N400" s="26"/>
      <c r="S400" s="27" t="str">
        <f t="shared" si="29"/>
        <v/>
      </c>
      <c r="T400" s="28" t="str">
        <f t="shared" si="25"/>
        <v/>
      </c>
      <c r="V400" t="str">
        <f t="shared" si="26"/>
        <v/>
      </c>
    </row>
    <row r="401" spans="1:22">
      <c r="A401" s="6"/>
      <c r="H401" s="25"/>
      <c r="I401" s="25"/>
      <c r="J401" s="25"/>
      <c r="K401" s="25"/>
      <c r="L401" s="1" t="str">
        <f t="shared" si="27"/>
        <v/>
      </c>
      <c r="M401" s="1" t="str">
        <f t="shared" si="28"/>
        <v/>
      </c>
      <c r="N401" s="26"/>
      <c r="S401" s="27" t="str">
        <f t="shared" si="29"/>
        <v/>
      </c>
      <c r="T401" s="28" t="str">
        <f t="shared" si="25"/>
        <v/>
      </c>
      <c r="V401" t="str">
        <f t="shared" si="26"/>
        <v/>
      </c>
    </row>
    <row r="402" spans="1:22">
      <c r="A402" s="6"/>
      <c r="H402" s="25"/>
      <c r="I402" s="25"/>
      <c r="J402" s="25"/>
      <c r="K402" s="25"/>
      <c r="L402" s="1" t="str">
        <f t="shared" si="27"/>
        <v/>
      </c>
      <c r="M402" s="1" t="str">
        <f t="shared" si="28"/>
        <v/>
      </c>
      <c r="N402" s="26"/>
      <c r="S402" s="27" t="str">
        <f t="shared" si="29"/>
        <v/>
      </c>
      <c r="T402" s="28" t="str">
        <f t="shared" si="25"/>
        <v/>
      </c>
      <c r="V402" t="str">
        <f t="shared" si="26"/>
        <v/>
      </c>
    </row>
    <row r="403" spans="1:22">
      <c r="A403" s="6"/>
      <c r="H403" s="25"/>
      <c r="I403" s="25"/>
      <c r="J403" s="25"/>
      <c r="K403" s="25"/>
      <c r="L403" s="1" t="str">
        <f t="shared" si="27"/>
        <v/>
      </c>
      <c r="M403" s="1" t="str">
        <f t="shared" si="28"/>
        <v/>
      </c>
      <c r="N403" s="26"/>
      <c r="S403" s="27" t="str">
        <f t="shared" si="29"/>
        <v/>
      </c>
      <c r="T403" s="28" t="str">
        <f t="shared" si="25"/>
        <v/>
      </c>
      <c r="V403" t="str">
        <f t="shared" si="26"/>
        <v/>
      </c>
    </row>
    <row r="404" spans="1:22">
      <c r="A404" s="6"/>
      <c r="H404" s="25"/>
      <c r="I404" s="25"/>
      <c r="J404" s="25"/>
      <c r="K404" s="25"/>
      <c r="L404" s="1" t="str">
        <f t="shared" si="27"/>
        <v/>
      </c>
      <c r="M404" s="1" t="str">
        <f t="shared" si="28"/>
        <v/>
      </c>
      <c r="N404" s="26"/>
      <c r="S404" s="27" t="str">
        <f t="shared" si="29"/>
        <v/>
      </c>
      <c r="T404" s="28" t="str">
        <f t="shared" ref="T404:T467" si="30">IF($A404="","",IF(OR($S404="", $S404&lt;=0, $L404=""),"",ROUND($L404*24*$S404,2)))</f>
        <v/>
      </c>
      <c r="V404" t="str">
        <f t="shared" ref="V404:V467" si="31">IF($A404="","",IF(OR(YEAR($A404)&lt;2020,YEAR($A404)&gt;2030),"Podezřelé datum",IF(OR($F404="",$G404=""),"Chybí letiště",IF(OR($H404="",$I404="",$J404="",$K404=""),"Chybí čas",IF(OR($H404&gt;$I404,$I404&gt;$J404,$J404&gt;$K404),"Časy mimo pořadí",IF($M404&gt;$L404,"Air &gt; Block",IF(OR($S404="", $S404&lt;=0),"Chybí sazba","OK")))))))</f>
        <v/>
      </c>
    </row>
    <row r="405" spans="1:22">
      <c r="A405" s="6"/>
      <c r="H405" s="25"/>
      <c r="I405" s="25"/>
      <c r="J405" s="25"/>
      <c r="K405" s="25"/>
      <c r="L405" s="1" t="str">
        <f t="shared" si="27"/>
        <v/>
      </c>
      <c r="M405" s="1" t="str">
        <f t="shared" si="28"/>
        <v/>
      </c>
      <c r="N405" s="26"/>
      <c r="S405" s="27" t="str">
        <f t="shared" si="29"/>
        <v/>
      </c>
      <c r="T405" s="28" t="str">
        <f t="shared" si="30"/>
        <v/>
      </c>
      <c r="V405" t="str">
        <f t="shared" si="31"/>
        <v/>
      </c>
    </row>
    <row r="406" spans="1:22">
      <c r="A406" s="6"/>
      <c r="H406" s="25"/>
      <c r="I406" s="25"/>
      <c r="J406" s="25"/>
      <c r="K406" s="25"/>
      <c r="L406" s="1" t="str">
        <f t="shared" si="27"/>
        <v/>
      </c>
      <c r="M406" s="1" t="str">
        <f t="shared" si="28"/>
        <v/>
      </c>
      <c r="N406" s="26"/>
      <c r="S406" s="27" t="str">
        <f t="shared" si="29"/>
        <v/>
      </c>
      <c r="T406" s="28" t="str">
        <f t="shared" si="30"/>
        <v/>
      </c>
      <c r="V406" t="str">
        <f t="shared" si="31"/>
        <v/>
      </c>
    </row>
    <row r="407" spans="1:22">
      <c r="A407" s="6"/>
      <c r="H407" s="25"/>
      <c r="I407" s="25"/>
      <c r="J407" s="25"/>
      <c r="K407" s="25"/>
      <c r="L407" s="1" t="str">
        <f t="shared" si="27"/>
        <v/>
      </c>
      <c r="M407" s="1" t="str">
        <f t="shared" si="28"/>
        <v/>
      </c>
      <c r="N407" s="26"/>
      <c r="S407" s="27" t="str">
        <f t="shared" si="29"/>
        <v/>
      </c>
      <c r="T407" s="28" t="str">
        <f t="shared" si="30"/>
        <v/>
      </c>
      <c r="V407" t="str">
        <f t="shared" si="31"/>
        <v/>
      </c>
    </row>
    <row r="408" spans="1:22">
      <c r="A408" s="6"/>
      <c r="H408" s="25"/>
      <c r="I408" s="25"/>
      <c r="J408" s="25"/>
      <c r="K408" s="25"/>
      <c r="L408" s="1" t="str">
        <f t="shared" si="27"/>
        <v/>
      </c>
      <c r="M408" s="1" t="str">
        <f t="shared" si="28"/>
        <v/>
      </c>
      <c r="N408" s="26"/>
      <c r="S408" s="27" t="str">
        <f t="shared" si="29"/>
        <v/>
      </c>
      <c r="T408" s="28" t="str">
        <f t="shared" si="30"/>
        <v/>
      </c>
      <c r="V408" t="str">
        <f t="shared" si="31"/>
        <v/>
      </c>
    </row>
    <row r="409" spans="1:22">
      <c r="A409" s="6"/>
      <c r="H409" s="25"/>
      <c r="I409" s="25"/>
      <c r="J409" s="25"/>
      <c r="K409" s="25"/>
      <c r="L409" s="1" t="str">
        <f t="shared" si="27"/>
        <v/>
      </c>
      <c r="M409" s="1" t="str">
        <f t="shared" si="28"/>
        <v/>
      </c>
      <c r="N409" s="26"/>
      <c r="S409" s="27" t="str">
        <f t="shared" si="29"/>
        <v/>
      </c>
      <c r="T409" s="28" t="str">
        <f t="shared" si="30"/>
        <v/>
      </c>
      <c r="V409" t="str">
        <f t="shared" si="31"/>
        <v/>
      </c>
    </row>
    <row r="410" spans="1:22">
      <c r="A410" s="6"/>
      <c r="H410" s="25"/>
      <c r="I410" s="25"/>
      <c r="J410" s="25"/>
      <c r="K410" s="25"/>
      <c r="L410" s="1" t="str">
        <f t="shared" si="27"/>
        <v/>
      </c>
      <c r="M410" s="1" t="str">
        <f t="shared" si="28"/>
        <v/>
      </c>
      <c r="N410" s="26"/>
      <c r="S410" s="27" t="str">
        <f t="shared" si="29"/>
        <v/>
      </c>
      <c r="T410" s="28" t="str">
        <f t="shared" si="30"/>
        <v/>
      </c>
      <c r="V410" t="str">
        <f t="shared" si="31"/>
        <v/>
      </c>
    </row>
    <row r="411" spans="1:22">
      <c r="A411" s="6"/>
      <c r="H411" s="25"/>
      <c r="I411" s="25"/>
      <c r="J411" s="25"/>
      <c r="K411" s="25"/>
      <c r="L411" s="1" t="str">
        <f t="shared" si="27"/>
        <v/>
      </c>
      <c r="M411" s="1" t="str">
        <f t="shared" si="28"/>
        <v/>
      </c>
      <c r="N411" s="26"/>
      <c r="S411" s="27" t="str">
        <f t="shared" si="29"/>
        <v/>
      </c>
      <c r="T411" s="28" t="str">
        <f t="shared" si="30"/>
        <v/>
      </c>
      <c r="V411" t="str">
        <f t="shared" si="31"/>
        <v/>
      </c>
    </row>
    <row r="412" spans="1:22">
      <c r="A412" s="6"/>
      <c r="H412" s="25"/>
      <c r="I412" s="25"/>
      <c r="J412" s="25"/>
      <c r="K412" s="25"/>
      <c r="L412" s="1" t="str">
        <f t="shared" si="27"/>
        <v/>
      </c>
      <c r="M412" s="1" t="str">
        <f t="shared" si="28"/>
        <v/>
      </c>
      <c r="N412" s="26"/>
      <c r="S412" s="27" t="str">
        <f t="shared" si="29"/>
        <v/>
      </c>
      <c r="T412" s="28" t="str">
        <f t="shared" si="30"/>
        <v/>
      </c>
      <c r="V412" t="str">
        <f t="shared" si="31"/>
        <v/>
      </c>
    </row>
    <row r="413" spans="1:22">
      <c r="A413" s="6"/>
      <c r="H413" s="25"/>
      <c r="I413" s="25"/>
      <c r="J413" s="25"/>
      <c r="K413" s="25"/>
      <c r="L413" s="1" t="str">
        <f t="shared" si="27"/>
        <v/>
      </c>
      <c r="M413" s="1" t="str">
        <f t="shared" si="28"/>
        <v/>
      </c>
      <c r="N413" s="26"/>
      <c r="S413" s="27" t="str">
        <f t="shared" si="29"/>
        <v/>
      </c>
      <c r="T413" s="28" t="str">
        <f t="shared" si="30"/>
        <v/>
      </c>
      <c r="V413" t="str">
        <f t="shared" si="31"/>
        <v/>
      </c>
    </row>
    <row r="414" spans="1:22">
      <c r="A414" s="6"/>
      <c r="H414" s="25"/>
      <c r="I414" s="25"/>
      <c r="J414" s="25"/>
      <c r="K414" s="25"/>
      <c r="L414" s="1" t="str">
        <f t="shared" si="27"/>
        <v/>
      </c>
      <c r="M414" s="1" t="str">
        <f t="shared" si="28"/>
        <v/>
      </c>
      <c r="N414" s="26"/>
      <c r="S414" s="27" t="str">
        <f t="shared" si="29"/>
        <v/>
      </c>
      <c r="T414" s="28" t="str">
        <f t="shared" si="30"/>
        <v/>
      </c>
      <c r="V414" t="str">
        <f t="shared" si="31"/>
        <v/>
      </c>
    </row>
    <row r="415" spans="1:22">
      <c r="A415" s="6"/>
      <c r="H415" s="25"/>
      <c r="I415" s="25"/>
      <c r="J415" s="25"/>
      <c r="K415" s="25"/>
      <c r="L415" s="1" t="str">
        <f t="shared" si="27"/>
        <v/>
      </c>
      <c r="M415" s="1" t="str">
        <f t="shared" si="28"/>
        <v/>
      </c>
      <c r="N415" s="26"/>
      <c r="S415" s="27" t="str">
        <f t="shared" si="29"/>
        <v/>
      </c>
      <c r="T415" s="28" t="str">
        <f t="shared" si="30"/>
        <v/>
      </c>
      <c r="V415" t="str">
        <f t="shared" si="31"/>
        <v/>
      </c>
    </row>
    <row r="416" spans="1:22">
      <c r="A416" s="6"/>
      <c r="H416" s="25"/>
      <c r="I416" s="25"/>
      <c r="J416" s="25"/>
      <c r="K416" s="25"/>
      <c r="L416" s="1" t="str">
        <f t="shared" si="27"/>
        <v/>
      </c>
      <c r="M416" s="1" t="str">
        <f t="shared" si="28"/>
        <v/>
      </c>
      <c r="N416" s="26"/>
      <c r="S416" s="27" t="str">
        <f t="shared" si="29"/>
        <v/>
      </c>
      <c r="T416" s="28" t="str">
        <f t="shared" si="30"/>
        <v/>
      </c>
      <c r="V416" t="str">
        <f t="shared" si="31"/>
        <v/>
      </c>
    </row>
    <row r="417" spans="1:22">
      <c r="A417" s="6"/>
      <c r="H417" s="25"/>
      <c r="I417" s="25"/>
      <c r="J417" s="25"/>
      <c r="K417" s="25"/>
      <c r="L417" s="1" t="str">
        <f t="shared" si="27"/>
        <v/>
      </c>
      <c r="M417" s="1" t="str">
        <f t="shared" si="28"/>
        <v/>
      </c>
      <c r="N417" s="26"/>
      <c r="S417" s="27" t="str">
        <f t="shared" si="29"/>
        <v/>
      </c>
      <c r="T417" s="28" t="str">
        <f t="shared" si="30"/>
        <v/>
      </c>
      <c r="V417" t="str">
        <f t="shared" si="31"/>
        <v/>
      </c>
    </row>
    <row r="418" spans="1:22">
      <c r="A418" s="6"/>
      <c r="H418" s="25"/>
      <c r="I418" s="25"/>
      <c r="J418" s="25"/>
      <c r="K418" s="25"/>
      <c r="L418" s="1" t="str">
        <f t="shared" si="27"/>
        <v/>
      </c>
      <c r="M418" s="1" t="str">
        <f t="shared" si="28"/>
        <v/>
      </c>
      <c r="N418" s="26"/>
      <c r="S418" s="27" t="str">
        <f t="shared" si="29"/>
        <v/>
      </c>
      <c r="T418" s="28" t="str">
        <f t="shared" si="30"/>
        <v/>
      </c>
      <c r="V418" t="str">
        <f t="shared" si="31"/>
        <v/>
      </c>
    </row>
    <row r="419" spans="1:22">
      <c r="A419" s="6"/>
      <c r="H419" s="25"/>
      <c r="I419" s="25"/>
      <c r="J419" s="25"/>
      <c r="K419" s="25"/>
      <c r="L419" s="1" t="str">
        <f t="shared" si="27"/>
        <v/>
      </c>
      <c r="M419" s="1" t="str">
        <f t="shared" si="28"/>
        <v/>
      </c>
      <c r="N419" s="26"/>
      <c r="S419" s="27" t="str">
        <f t="shared" si="29"/>
        <v/>
      </c>
      <c r="T419" s="28" t="str">
        <f t="shared" si="30"/>
        <v/>
      </c>
      <c r="V419" t="str">
        <f t="shared" si="31"/>
        <v/>
      </c>
    </row>
    <row r="420" spans="1:22">
      <c r="A420" s="6"/>
      <c r="H420" s="25"/>
      <c r="I420" s="25"/>
      <c r="J420" s="25"/>
      <c r="K420" s="25"/>
      <c r="L420" s="1" t="str">
        <f t="shared" si="27"/>
        <v/>
      </c>
      <c r="M420" s="1" t="str">
        <f t="shared" si="28"/>
        <v/>
      </c>
      <c r="N420" s="26"/>
      <c r="S420" s="27" t="str">
        <f t="shared" si="29"/>
        <v/>
      </c>
      <c r="T420" s="28" t="str">
        <f t="shared" si="30"/>
        <v/>
      </c>
      <c r="V420" t="str">
        <f t="shared" si="31"/>
        <v/>
      </c>
    </row>
    <row r="421" spans="1:22">
      <c r="A421" s="6"/>
      <c r="H421" s="25"/>
      <c r="I421" s="25"/>
      <c r="J421" s="25"/>
      <c r="K421" s="25"/>
      <c r="L421" s="1" t="str">
        <f t="shared" si="27"/>
        <v/>
      </c>
      <c r="M421" s="1" t="str">
        <f t="shared" si="28"/>
        <v/>
      </c>
      <c r="N421" s="26"/>
      <c r="S421" s="27" t="str">
        <f t="shared" si="29"/>
        <v/>
      </c>
      <c r="T421" s="28" t="str">
        <f t="shared" si="30"/>
        <v/>
      </c>
      <c r="V421" t="str">
        <f t="shared" si="31"/>
        <v/>
      </c>
    </row>
    <row r="422" spans="1:22">
      <c r="A422" s="6"/>
      <c r="H422" s="25"/>
      <c r="I422" s="25"/>
      <c r="J422" s="25"/>
      <c r="K422" s="25"/>
      <c r="L422" s="1" t="str">
        <f t="shared" si="27"/>
        <v/>
      </c>
      <c r="M422" s="1" t="str">
        <f t="shared" si="28"/>
        <v/>
      </c>
      <c r="N422" s="26"/>
      <c r="S422" s="27" t="str">
        <f t="shared" si="29"/>
        <v/>
      </c>
      <c r="T422" s="28" t="str">
        <f t="shared" si="30"/>
        <v/>
      </c>
      <c r="V422" t="str">
        <f t="shared" si="31"/>
        <v/>
      </c>
    </row>
    <row r="423" spans="1:22">
      <c r="A423" s="6"/>
      <c r="H423" s="25"/>
      <c r="I423" s="25"/>
      <c r="J423" s="25"/>
      <c r="K423" s="25"/>
      <c r="L423" s="1" t="str">
        <f t="shared" si="27"/>
        <v/>
      </c>
      <c r="M423" s="1" t="str">
        <f t="shared" si="28"/>
        <v/>
      </c>
      <c r="N423" s="26"/>
      <c r="S423" s="27" t="str">
        <f t="shared" si="29"/>
        <v/>
      </c>
      <c r="T423" s="28" t="str">
        <f t="shared" si="30"/>
        <v/>
      </c>
      <c r="V423" t="str">
        <f t="shared" si="31"/>
        <v/>
      </c>
    </row>
    <row r="424" spans="1:22">
      <c r="A424" s="6"/>
      <c r="H424" s="25"/>
      <c r="I424" s="25"/>
      <c r="J424" s="25"/>
      <c r="K424" s="25"/>
      <c r="L424" s="1" t="str">
        <f t="shared" si="27"/>
        <v/>
      </c>
      <c r="M424" s="1" t="str">
        <f t="shared" si="28"/>
        <v/>
      </c>
      <c r="N424" s="26"/>
      <c r="S424" s="27" t="str">
        <f t="shared" si="29"/>
        <v/>
      </c>
      <c r="T424" s="28" t="str">
        <f t="shared" si="30"/>
        <v/>
      </c>
      <c r="V424" t="str">
        <f t="shared" si="31"/>
        <v/>
      </c>
    </row>
    <row r="425" spans="1:22">
      <c r="A425" s="6"/>
      <c r="H425" s="25"/>
      <c r="I425" s="25"/>
      <c r="J425" s="25"/>
      <c r="K425" s="25"/>
      <c r="L425" s="1" t="str">
        <f t="shared" si="27"/>
        <v/>
      </c>
      <c r="M425" s="1" t="str">
        <f t="shared" si="28"/>
        <v/>
      </c>
      <c r="N425" s="26"/>
      <c r="S425" s="27" t="str">
        <f t="shared" si="29"/>
        <v/>
      </c>
      <c r="T425" s="28" t="str">
        <f t="shared" si="30"/>
        <v/>
      </c>
      <c r="V425" t="str">
        <f t="shared" si="31"/>
        <v/>
      </c>
    </row>
    <row r="426" spans="1:22">
      <c r="A426" s="6"/>
      <c r="H426" s="25"/>
      <c r="I426" s="25"/>
      <c r="J426" s="25"/>
      <c r="K426" s="25"/>
      <c r="L426" s="1" t="str">
        <f t="shared" si="27"/>
        <v/>
      </c>
      <c r="M426" s="1" t="str">
        <f t="shared" si="28"/>
        <v/>
      </c>
      <c r="N426" s="26"/>
      <c r="S426" s="27" t="str">
        <f t="shared" si="29"/>
        <v/>
      </c>
      <c r="T426" s="28" t="str">
        <f t="shared" si="30"/>
        <v/>
      </c>
      <c r="V426" t="str">
        <f t="shared" si="31"/>
        <v/>
      </c>
    </row>
    <row r="427" spans="1:22">
      <c r="A427" s="6"/>
      <c r="H427" s="25"/>
      <c r="I427" s="25"/>
      <c r="J427" s="25"/>
      <c r="K427" s="25"/>
      <c r="L427" s="1" t="str">
        <f t="shared" si="27"/>
        <v/>
      </c>
      <c r="M427" s="1" t="str">
        <f t="shared" si="28"/>
        <v/>
      </c>
      <c r="N427" s="26"/>
      <c r="S427" s="27" t="str">
        <f t="shared" si="29"/>
        <v/>
      </c>
      <c r="T427" s="28" t="str">
        <f t="shared" si="30"/>
        <v/>
      </c>
      <c r="V427" t="str">
        <f t="shared" si="31"/>
        <v/>
      </c>
    </row>
    <row r="428" spans="1:22">
      <c r="A428" s="6"/>
      <c r="H428" s="25"/>
      <c r="I428" s="25"/>
      <c r="J428" s="25"/>
      <c r="K428" s="25"/>
      <c r="L428" s="1" t="str">
        <f t="shared" si="27"/>
        <v/>
      </c>
      <c r="M428" s="1" t="str">
        <f t="shared" si="28"/>
        <v/>
      </c>
      <c r="N428" s="26"/>
      <c r="S428" s="27" t="str">
        <f t="shared" si="29"/>
        <v/>
      </c>
      <c r="T428" s="28" t="str">
        <f t="shared" si="30"/>
        <v/>
      </c>
      <c r="V428" t="str">
        <f t="shared" si="31"/>
        <v/>
      </c>
    </row>
    <row r="429" spans="1:22">
      <c r="A429" s="6"/>
      <c r="H429" s="25"/>
      <c r="I429" s="25"/>
      <c r="J429" s="25"/>
      <c r="K429" s="25"/>
      <c r="L429" s="1" t="str">
        <f t="shared" si="27"/>
        <v/>
      </c>
      <c r="M429" s="1" t="str">
        <f t="shared" si="28"/>
        <v/>
      </c>
      <c r="N429" s="26"/>
      <c r="S429" s="27" t="str">
        <f t="shared" si="29"/>
        <v/>
      </c>
      <c r="T429" s="28" t="str">
        <f t="shared" si="30"/>
        <v/>
      </c>
      <c r="V429" t="str">
        <f t="shared" si="31"/>
        <v/>
      </c>
    </row>
    <row r="430" spans="1:22">
      <c r="A430" s="6"/>
      <c r="H430" s="25"/>
      <c r="I430" s="25"/>
      <c r="J430" s="25"/>
      <c r="K430" s="25"/>
      <c r="L430" s="1" t="str">
        <f t="shared" si="27"/>
        <v/>
      </c>
      <c r="M430" s="1" t="str">
        <f t="shared" si="28"/>
        <v/>
      </c>
      <c r="N430" s="26"/>
      <c r="S430" s="27" t="str">
        <f t="shared" si="29"/>
        <v/>
      </c>
      <c r="T430" s="28" t="str">
        <f t="shared" si="30"/>
        <v/>
      </c>
      <c r="V430" t="str">
        <f t="shared" si="31"/>
        <v/>
      </c>
    </row>
    <row r="431" spans="1:22">
      <c r="A431" s="6"/>
      <c r="H431" s="25"/>
      <c r="I431" s="25"/>
      <c r="J431" s="25"/>
      <c r="K431" s="25"/>
      <c r="L431" s="1" t="str">
        <f t="shared" si="27"/>
        <v/>
      </c>
      <c r="M431" s="1" t="str">
        <f t="shared" si="28"/>
        <v/>
      </c>
      <c r="N431" s="26"/>
      <c r="S431" s="27" t="str">
        <f t="shared" si="29"/>
        <v/>
      </c>
      <c r="T431" s="28" t="str">
        <f t="shared" si="30"/>
        <v/>
      </c>
      <c r="V431" t="str">
        <f t="shared" si="31"/>
        <v/>
      </c>
    </row>
    <row r="432" spans="1:22">
      <c r="A432" s="6"/>
      <c r="H432" s="25"/>
      <c r="I432" s="25"/>
      <c r="J432" s="25"/>
      <c r="K432" s="25"/>
      <c r="L432" s="1" t="str">
        <f t="shared" si="27"/>
        <v/>
      </c>
      <c r="M432" s="1" t="str">
        <f t="shared" si="28"/>
        <v/>
      </c>
      <c r="N432" s="26"/>
      <c r="S432" s="27" t="str">
        <f t="shared" si="29"/>
        <v/>
      </c>
      <c r="T432" s="28" t="str">
        <f t="shared" si="30"/>
        <v/>
      </c>
      <c r="V432" t="str">
        <f t="shared" si="31"/>
        <v/>
      </c>
    </row>
    <row r="433" spans="1:22">
      <c r="A433" s="6"/>
      <c r="H433" s="25"/>
      <c r="I433" s="25"/>
      <c r="J433" s="25"/>
      <c r="K433" s="25"/>
      <c r="L433" s="1" t="str">
        <f t="shared" si="27"/>
        <v/>
      </c>
      <c r="M433" s="1" t="str">
        <f t="shared" si="28"/>
        <v/>
      </c>
      <c r="N433" s="26"/>
      <c r="S433" s="27" t="str">
        <f t="shared" si="29"/>
        <v/>
      </c>
      <c r="T433" s="28" t="str">
        <f t="shared" si="30"/>
        <v/>
      </c>
      <c r="V433" t="str">
        <f t="shared" si="31"/>
        <v/>
      </c>
    </row>
    <row r="434" spans="1:22">
      <c r="A434" s="6"/>
      <c r="H434" s="25"/>
      <c r="I434" s="25"/>
      <c r="J434" s="25"/>
      <c r="K434" s="25"/>
      <c r="L434" s="1" t="str">
        <f t="shared" si="27"/>
        <v/>
      </c>
      <c r="M434" s="1" t="str">
        <f t="shared" si="28"/>
        <v/>
      </c>
      <c r="N434" s="26"/>
      <c r="S434" s="27" t="str">
        <f t="shared" si="29"/>
        <v/>
      </c>
      <c r="T434" s="28" t="str">
        <f t="shared" si="30"/>
        <v/>
      </c>
      <c r="V434" t="str">
        <f t="shared" si="31"/>
        <v/>
      </c>
    </row>
    <row r="435" spans="1:22">
      <c r="A435" s="6"/>
      <c r="H435" s="25"/>
      <c r="I435" s="25"/>
      <c r="J435" s="25"/>
      <c r="K435" s="25"/>
      <c r="L435" s="1" t="str">
        <f t="shared" si="27"/>
        <v/>
      </c>
      <c r="M435" s="1" t="str">
        <f t="shared" si="28"/>
        <v/>
      </c>
      <c r="N435" s="26"/>
      <c r="S435" s="27" t="str">
        <f t="shared" si="29"/>
        <v/>
      </c>
      <c r="T435" s="28" t="str">
        <f t="shared" si="30"/>
        <v/>
      </c>
      <c r="V435" t="str">
        <f t="shared" si="31"/>
        <v/>
      </c>
    </row>
    <row r="436" spans="1:22">
      <c r="A436" s="6"/>
      <c r="H436" s="25"/>
      <c r="I436" s="25"/>
      <c r="J436" s="25"/>
      <c r="K436" s="25"/>
      <c r="L436" s="1" t="str">
        <f t="shared" si="27"/>
        <v/>
      </c>
      <c r="M436" s="1" t="str">
        <f t="shared" si="28"/>
        <v/>
      </c>
      <c r="N436" s="26"/>
      <c r="S436" s="27" t="str">
        <f t="shared" si="29"/>
        <v/>
      </c>
      <c r="T436" s="28" t="str">
        <f t="shared" si="30"/>
        <v/>
      </c>
      <c r="V436" t="str">
        <f t="shared" si="31"/>
        <v/>
      </c>
    </row>
    <row r="437" spans="1:22">
      <c r="A437" s="6"/>
      <c r="H437" s="25"/>
      <c r="I437" s="25"/>
      <c r="J437" s="25"/>
      <c r="K437" s="25"/>
      <c r="L437" s="1" t="str">
        <f t="shared" si="27"/>
        <v/>
      </c>
      <c r="M437" s="1" t="str">
        <f t="shared" si="28"/>
        <v/>
      </c>
      <c r="N437" s="26"/>
      <c r="S437" s="27" t="str">
        <f t="shared" si="29"/>
        <v/>
      </c>
      <c r="T437" s="28" t="str">
        <f t="shared" si="30"/>
        <v/>
      </c>
      <c r="V437" t="str">
        <f t="shared" si="31"/>
        <v/>
      </c>
    </row>
    <row r="438" spans="1:22">
      <c r="A438" s="6"/>
      <c r="H438" s="25"/>
      <c r="I438" s="25"/>
      <c r="J438" s="25"/>
      <c r="K438" s="25"/>
      <c r="L438" s="1" t="str">
        <f t="shared" si="27"/>
        <v/>
      </c>
      <c r="M438" s="1" t="str">
        <f t="shared" si="28"/>
        <v/>
      </c>
      <c r="N438" s="26"/>
      <c r="S438" s="27" t="str">
        <f t="shared" si="29"/>
        <v/>
      </c>
      <c r="T438" s="28" t="str">
        <f t="shared" si="30"/>
        <v/>
      </c>
      <c r="V438" t="str">
        <f t="shared" si="31"/>
        <v/>
      </c>
    </row>
    <row r="439" spans="1:22">
      <c r="A439" s="6"/>
      <c r="H439" s="25"/>
      <c r="I439" s="25"/>
      <c r="J439" s="25"/>
      <c r="K439" s="25"/>
      <c r="L439" s="1" t="str">
        <f t="shared" si="27"/>
        <v/>
      </c>
      <c r="M439" s="1" t="str">
        <f t="shared" si="28"/>
        <v/>
      </c>
      <c r="N439" s="26"/>
      <c r="S439" s="27" t="str">
        <f t="shared" si="29"/>
        <v/>
      </c>
      <c r="T439" s="28" t="str">
        <f t="shared" si="30"/>
        <v/>
      </c>
      <c r="V439" t="str">
        <f t="shared" si="31"/>
        <v/>
      </c>
    </row>
    <row r="440" spans="1:22">
      <c r="A440" s="6"/>
      <c r="H440" s="25"/>
      <c r="I440" s="25"/>
      <c r="J440" s="25"/>
      <c r="K440" s="25"/>
      <c r="L440" s="1" t="str">
        <f t="shared" si="27"/>
        <v/>
      </c>
      <c r="M440" s="1" t="str">
        <f t="shared" si="28"/>
        <v/>
      </c>
      <c r="N440" s="26"/>
      <c r="S440" s="27" t="str">
        <f t="shared" si="29"/>
        <v/>
      </c>
      <c r="T440" s="28" t="str">
        <f t="shared" si="30"/>
        <v/>
      </c>
      <c r="V440" t="str">
        <f t="shared" si="31"/>
        <v/>
      </c>
    </row>
    <row r="441" spans="1:22">
      <c r="A441" s="6"/>
      <c r="H441" s="25"/>
      <c r="I441" s="25"/>
      <c r="J441" s="25"/>
      <c r="K441" s="25"/>
      <c r="L441" s="1" t="str">
        <f t="shared" si="27"/>
        <v/>
      </c>
      <c r="M441" s="1" t="str">
        <f t="shared" si="28"/>
        <v/>
      </c>
      <c r="N441" s="26"/>
      <c r="S441" s="27" t="str">
        <f t="shared" si="29"/>
        <v/>
      </c>
      <c r="T441" s="28" t="str">
        <f t="shared" si="30"/>
        <v/>
      </c>
      <c r="V441" t="str">
        <f t="shared" si="31"/>
        <v/>
      </c>
    </row>
    <row r="442" spans="1:22">
      <c r="A442" s="6"/>
      <c r="H442" s="25"/>
      <c r="I442" s="25"/>
      <c r="J442" s="25"/>
      <c r="K442" s="25"/>
      <c r="L442" s="1" t="str">
        <f t="shared" si="27"/>
        <v/>
      </c>
      <c r="M442" s="1" t="str">
        <f t="shared" si="28"/>
        <v/>
      </c>
      <c r="N442" s="26"/>
      <c r="S442" s="27" t="str">
        <f t="shared" si="29"/>
        <v/>
      </c>
      <c r="T442" s="28" t="str">
        <f t="shared" si="30"/>
        <v/>
      </c>
      <c r="V442" t="str">
        <f t="shared" si="31"/>
        <v/>
      </c>
    </row>
    <row r="443" spans="1:22">
      <c r="A443" s="6"/>
      <c r="H443" s="25"/>
      <c r="I443" s="25"/>
      <c r="J443" s="25"/>
      <c r="K443" s="25"/>
      <c r="L443" s="1" t="str">
        <f t="shared" si="27"/>
        <v/>
      </c>
      <c r="M443" s="1" t="str">
        <f t="shared" si="28"/>
        <v/>
      </c>
      <c r="N443" s="26"/>
      <c r="S443" s="27" t="str">
        <f t="shared" si="29"/>
        <v/>
      </c>
      <c r="T443" s="28" t="str">
        <f t="shared" si="30"/>
        <v/>
      </c>
      <c r="V443" t="str">
        <f t="shared" si="31"/>
        <v/>
      </c>
    </row>
    <row r="444" spans="1:22">
      <c r="A444" s="6"/>
      <c r="H444" s="25"/>
      <c r="I444" s="25"/>
      <c r="J444" s="25"/>
      <c r="K444" s="25"/>
      <c r="L444" s="1" t="str">
        <f t="shared" si="27"/>
        <v/>
      </c>
      <c r="M444" s="1" t="str">
        <f t="shared" si="28"/>
        <v/>
      </c>
      <c r="N444" s="26"/>
      <c r="S444" s="27" t="str">
        <f t="shared" si="29"/>
        <v/>
      </c>
      <c r="T444" s="28" t="str">
        <f t="shared" si="30"/>
        <v/>
      </c>
      <c r="V444" t="str">
        <f t="shared" si="31"/>
        <v/>
      </c>
    </row>
    <row r="445" spans="1:22">
      <c r="A445" s="6"/>
      <c r="H445" s="25"/>
      <c r="I445" s="25"/>
      <c r="J445" s="25"/>
      <c r="K445" s="25"/>
      <c r="L445" s="1" t="str">
        <f t="shared" si="27"/>
        <v/>
      </c>
      <c r="M445" s="1" t="str">
        <f t="shared" si="28"/>
        <v/>
      </c>
      <c r="N445" s="26"/>
      <c r="S445" s="27" t="str">
        <f t="shared" si="29"/>
        <v/>
      </c>
      <c r="T445" s="28" t="str">
        <f t="shared" si="30"/>
        <v/>
      </c>
      <c r="V445" t="str">
        <f t="shared" si="31"/>
        <v/>
      </c>
    </row>
    <row r="446" spans="1:22">
      <c r="A446" s="6"/>
      <c r="H446" s="25"/>
      <c r="I446" s="25"/>
      <c r="J446" s="25"/>
      <c r="K446" s="25"/>
      <c r="L446" s="1" t="str">
        <f t="shared" si="27"/>
        <v/>
      </c>
      <c r="M446" s="1" t="str">
        <f t="shared" si="28"/>
        <v/>
      </c>
      <c r="N446" s="26"/>
      <c r="S446" s="27" t="str">
        <f t="shared" si="29"/>
        <v/>
      </c>
      <c r="T446" s="28" t="str">
        <f t="shared" si="30"/>
        <v/>
      </c>
      <c r="V446" t="str">
        <f t="shared" si="31"/>
        <v/>
      </c>
    </row>
    <row r="447" spans="1:22">
      <c r="A447" s="6"/>
      <c r="H447" s="25"/>
      <c r="I447" s="25"/>
      <c r="J447" s="25"/>
      <c r="K447" s="25"/>
      <c r="L447" s="1" t="str">
        <f t="shared" si="27"/>
        <v/>
      </c>
      <c r="M447" s="1" t="str">
        <f t="shared" si="28"/>
        <v/>
      </c>
      <c r="N447" s="26"/>
      <c r="S447" s="27" t="str">
        <f t="shared" si="29"/>
        <v/>
      </c>
      <c r="T447" s="28" t="str">
        <f t="shared" si="30"/>
        <v/>
      </c>
      <c r="V447" t="str">
        <f t="shared" si="31"/>
        <v/>
      </c>
    </row>
    <row r="448" spans="1:22">
      <c r="A448" s="6"/>
      <c r="H448" s="25"/>
      <c r="I448" s="25"/>
      <c r="J448" s="25"/>
      <c r="K448" s="25"/>
      <c r="L448" s="1" t="str">
        <f t="shared" si="27"/>
        <v/>
      </c>
      <c r="M448" s="1" t="str">
        <f t="shared" si="28"/>
        <v/>
      </c>
      <c r="N448" s="26"/>
      <c r="S448" s="27" t="str">
        <f t="shared" si="29"/>
        <v/>
      </c>
      <c r="T448" s="28" t="str">
        <f t="shared" si="30"/>
        <v/>
      </c>
      <c r="V448" t="str">
        <f t="shared" si="31"/>
        <v/>
      </c>
    </row>
    <row r="449" spans="1:22">
      <c r="A449" s="6"/>
      <c r="H449" s="25"/>
      <c r="I449" s="25"/>
      <c r="J449" s="25"/>
      <c r="K449" s="25"/>
      <c r="L449" s="1" t="str">
        <f t="shared" si="27"/>
        <v/>
      </c>
      <c r="M449" s="1" t="str">
        <f t="shared" si="28"/>
        <v/>
      </c>
      <c r="N449" s="26"/>
      <c r="S449" s="27" t="str">
        <f t="shared" si="29"/>
        <v/>
      </c>
      <c r="T449" s="28" t="str">
        <f t="shared" si="30"/>
        <v/>
      </c>
      <c r="V449" t="str">
        <f t="shared" si="31"/>
        <v/>
      </c>
    </row>
    <row r="450" spans="1:22">
      <c r="A450" s="6"/>
      <c r="H450" s="25"/>
      <c r="I450" s="25"/>
      <c r="J450" s="25"/>
      <c r="K450" s="25"/>
      <c r="L450" s="1" t="str">
        <f t="shared" ref="L450:L513" si="32">IF($A450="","",IF(AND(ISNUMBER($H450),ISNUMBER($K450)),MOD($K450-$H450,1),""))</f>
        <v/>
      </c>
      <c r="M450" s="1" t="str">
        <f t="shared" ref="M450:M513" si="33">IF($A450="","",IF(AND(ISNUMBER($I450),ISNUMBER($J450)),MOD($J450-$I450,1),""))</f>
        <v/>
      </c>
      <c r="N450" s="26"/>
      <c r="S450" s="27" t="str">
        <f t="shared" si="29"/>
        <v/>
      </c>
      <c r="T450" s="28" t="str">
        <f t="shared" si="30"/>
        <v/>
      </c>
      <c r="V450" t="str">
        <f t="shared" si="31"/>
        <v/>
      </c>
    </row>
    <row r="451" spans="1:22">
      <c r="A451" s="6"/>
      <c r="H451" s="25"/>
      <c r="I451" s="25"/>
      <c r="J451" s="25"/>
      <c r="K451" s="25"/>
      <c r="L451" s="1" t="str">
        <f t="shared" si="32"/>
        <v/>
      </c>
      <c r="M451" s="1" t="str">
        <f t="shared" si="33"/>
        <v/>
      </c>
      <c r="N451" s="26"/>
      <c r="S451" s="27" t="str">
        <f t="shared" si="29"/>
        <v/>
      </c>
      <c r="T451" s="28" t="str">
        <f t="shared" si="30"/>
        <v/>
      </c>
      <c r="V451" t="str">
        <f t="shared" si="31"/>
        <v/>
      </c>
    </row>
    <row r="452" spans="1:22">
      <c r="A452" s="6"/>
      <c r="H452" s="25"/>
      <c r="I452" s="25"/>
      <c r="J452" s="25"/>
      <c r="K452" s="25"/>
      <c r="L452" s="1" t="str">
        <f t="shared" si="32"/>
        <v/>
      </c>
      <c r="M452" s="1" t="str">
        <f t="shared" si="33"/>
        <v/>
      </c>
      <c r="N452" s="26"/>
      <c r="S452" s="27" t="str">
        <f t="shared" si="29"/>
        <v/>
      </c>
      <c r="T452" s="28" t="str">
        <f t="shared" si="30"/>
        <v/>
      </c>
      <c r="V452" t="str">
        <f t="shared" si="31"/>
        <v/>
      </c>
    </row>
    <row r="453" spans="1:22">
      <c r="A453" s="6"/>
      <c r="H453" s="25"/>
      <c r="I453" s="25"/>
      <c r="J453" s="25"/>
      <c r="K453" s="25"/>
      <c r="L453" s="1" t="str">
        <f t="shared" si="32"/>
        <v/>
      </c>
      <c r="M453" s="1" t="str">
        <f t="shared" si="33"/>
        <v/>
      </c>
      <c r="N453" s="26"/>
      <c r="S453" s="27" t="str">
        <f t="shared" ref="S453:S516" si="34">IF($C453="","",IF($C453="3344",450,IF($C453="5194",320,IF($C453="6606",290,IF($C453="7430",290,IF($C453="8115",2080,IF($C453="8205",450,IF($C453="8441",260,IF($C453="OK-BIC",3060,IF($C453="OK-BID",3060,IF($C453="OK-BIK",2700,IF($C453="OK-BIL",3060,IF($C453="OK-BIN",3060,IF($C453="OK-BIR",3060,IF($C453="OK-BUG12",2150,IF($C453="OK-CUG23",2370,IF($C453="OK-DAS",5600,IF($C453="OK-DOD",4420,IF($C453="OK-DPH",5000,IF($C453="OK-DUI89",2250,IF($C453="OK-DUI94",4000,IF($C453="OK-EUI10",2250,IF($C453="OK-EUI21",4000,IF($C453="OK-IAF",3060,IF($C453="OK-MPK",3820,IF($C453="OK-NUU90",2080,IF($C453="OK-UUR14",2250,IF($C453="OK-WUS17",3500,IF($C453="OK-XAI04",1860,"")))))))))))))))))))))))))))))</f>
        <v/>
      </c>
      <c r="T453" s="28" t="str">
        <f t="shared" si="30"/>
        <v/>
      </c>
      <c r="V453" t="str">
        <f t="shared" si="31"/>
        <v/>
      </c>
    </row>
    <row r="454" spans="1:22">
      <c r="A454" s="6"/>
      <c r="H454" s="25"/>
      <c r="I454" s="25"/>
      <c r="J454" s="25"/>
      <c r="K454" s="25"/>
      <c r="L454" s="1" t="str">
        <f t="shared" si="32"/>
        <v/>
      </c>
      <c r="M454" s="1" t="str">
        <f t="shared" si="33"/>
        <v/>
      </c>
      <c r="N454" s="26"/>
      <c r="S454" s="27" t="str">
        <f t="shared" si="34"/>
        <v/>
      </c>
      <c r="T454" s="28" t="str">
        <f t="shared" si="30"/>
        <v/>
      </c>
      <c r="V454" t="str">
        <f t="shared" si="31"/>
        <v/>
      </c>
    </row>
    <row r="455" spans="1:22">
      <c r="A455" s="6"/>
      <c r="H455" s="25"/>
      <c r="I455" s="25"/>
      <c r="J455" s="25"/>
      <c r="K455" s="25"/>
      <c r="L455" s="1" t="str">
        <f t="shared" si="32"/>
        <v/>
      </c>
      <c r="M455" s="1" t="str">
        <f t="shared" si="33"/>
        <v/>
      </c>
      <c r="N455" s="26"/>
      <c r="S455" s="27" t="str">
        <f t="shared" si="34"/>
        <v/>
      </c>
      <c r="T455" s="28" t="str">
        <f t="shared" si="30"/>
        <v/>
      </c>
      <c r="V455" t="str">
        <f t="shared" si="31"/>
        <v/>
      </c>
    </row>
    <row r="456" spans="1:22">
      <c r="A456" s="6"/>
      <c r="H456" s="25"/>
      <c r="I456" s="25"/>
      <c r="J456" s="25"/>
      <c r="K456" s="25"/>
      <c r="L456" s="1" t="str">
        <f t="shared" si="32"/>
        <v/>
      </c>
      <c r="M456" s="1" t="str">
        <f t="shared" si="33"/>
        <v/>
      </c>
      <c r="N456" s="26"/>
      <c r="S456" s="27" t="str">
        <f t="shared" si="34"/>
        <v/>
      </c>
      <c r="T456" s="28" t="str">
        <f t="shared" si="30"/>
        <v/>
      </c>
      <c r="V456" t="str">
        <f t="shared" si="31"/>
        <v/>
      </c>
    </row>
    <row r="457" spans="1:22">
      <c r="A457" s="6"/>
      <c r="H457" s="25"/>
      <c r="I457" s="25"/>
      <c r="J457" s="25"/>
      <c r="K457" s="25"/>
      <c r="L457" s="1" t="str">
        <f t="shared" si="32"/>
        <v/>
      </c>
      <c r="M457" s="1" t="str">
        <f t="shared" si="33"/>
        <v/>
      </c>
      <c r="N457" s="26"/>
      <c r="S457" s="27" t="str">
        <f t="shared" si="34"/>
        <v/>
      </c>
      <c r="T457" s="28" t="str">
        <f t="shared" si="30"/>
        <v/>
      </c>
      <c r="V457" t="str">
        <f t="shared" si="31"/>
        <v/>
      </c>
    </row>
    <row r="458" spans="1:22">
      <c r="A458" s="6"/>
      <c r="H458" s="25"/>
      <c r="I458" s="25"/>
      <c r="J458" s="25"/>
      <c r="K458" s="25"/>
      <c r="L458" s="1" t="str">
        <f t="shared" si="32"/>
        <v/>
      </c>
      <c r="M458" s="1" t="str">
        <f t="shared" si="33"/>
        <v/>
      </c>
      <c r="N458" s="26"/>
      <c r="S458" s="27" t="str">
        <f t="shared" si="34"/>
        <v/>
      </c>
      <c r="T458" s="28" t="str">
        <f t="shared" si="30"/>
        <v/>
      </c>
      <c r="V458" t="str">
        <f t="shared" si="31"/>
        <v/>
      </c>
    </row>
    <row r="459" spans="1:22">
      <c r="A459" s="6"/>
      <c r="H459" s="25"/>
      <c r="I459" s="25"/>
      <c r="J459" s="25"/>
      <c r="K459" s="25"/>
      <c r="L459" s="1" t="str">
        <f t="shared" si="32"/>
        <v/>
      </c>
      <c r="M459" s="1" t="str">
        <f t="shared" si="33"/>
        <v/>
      </c>
      <c r="N459" s="26"/>
      <c r="S459" s="27" t="str">
        <f t="shared" si="34"/>
        <v/>
      </c>
      <c r="T459" s="28" t="str">
        <f t="shared" si="30"/>
        <v/>
      </c>
      <c r="V459" t="str">
        <f t="shared" si="31"/>
        <v/>
      </c>
    </row>
    <row r="460" spans="1:22">
      <c r="A460" s="6"/>
      <c r="H460" s="25"/>
      <c r="I460" s="25"/>
      <c r="J460" s="25"/>
      <c r="K460" s="25"/>
      <c r="L460" s="1" t="str">
        <f t="shared" si="32"/>
        <v/>
      </c>
      <c r="M460" s="1" t="str">
        <f t="shared" si="33"/>
        <v/>
      </c>
      <c r="N460" s="26"/>
      <c r="S460" s="27" t="str">
        <f t="shared" si="34"/>
        <v/>
      </c>
      <c r="T460" s="28" t="str">
        <f t="shared" si="30"/>
        <v/>
      </c>
      <c r="V460" t="str">
        <f t="shared" si="31"/>
        <v/>
      </c>
    </row>
    <row r="461" spans="1:22">
      <c r="A461" s="6"/>
      <c r="H461" s="25"/>
      <c r="I461" s="25"/>
      <c r="J461" s="25"/>
      <c r="K461" s="25"/>
      <c r="L461" s="1" t="str">
        <f t="shared" si="32"/>
        <v/>
      </c>
      <c r="M461" s="1" t="str">
        <f t="shared" si="33"/>
        <v/>
      </c>
      <c r="N461" s="26"/>
      <c r="S461" s="27" t="str">
        <f t="shared" si="34"/>
        <v/>
      </c>
      <c r="T461" s="28" t="str">
        <f t="shared" si="30"/>
        <v/>
      </c>
      <c r="V461" t="str">
        <f t="shared" si="31"/>
        <v/>
      </c>
    </row>
    <row r="462" spans="1:22">
      <c r="A462" s="6"/>
      <c r="H462" s="25"/>
      <c r="I462" s="25"/>
      <c r="J462" s="25"/>
      <c r="K462" s="25"/>
      <c r="L462" s="1" t="str">
        <f t="shared" si="32"/>
        <v/>
      </c>
      <c r="M462" s="1" t="str">
        <f t="shared" si="33"/>
        <v/>
      </c>
      <c r="N462" s="26"/>
      <c r="S462" s="27" t="str">
        <f t="shared" si="34"/>
        <v/>
      </c>
      <c r="T462" s="28" t="str">
        <f t="shared" si="30"/>
        <v/>
      </c>
      <c r="V462" t="str">
        <f t="shared" si="31"/>
        <v/>
      </c>
    </row>
    <row r="463" spans="1:22">
      <c r="A463" s="6"/>
      <c r="H463" s="25"/>
      <c r="I463" s="25"/>
      <c r="J463" s="25"/>
      <c r="K463" s="25"/>
      <c r="L463" s="1" t="str">
        <f t="shared" si="32"/>
        <v/>
      </c>
      <c r="M463" s="1" t="str">
        <f t="shared" si="33"/>
        <v/>
      </c>
      <c r="N463" s="26"/>
      <c r="S463" s="27" t="str">
        <f t="shared" si="34"/>
        <v/>
      </c>
      <c r="T463" s="28" t="str">
        <f t="shared" si="30"/>
        <v/>
      </c>
      <c r="V463" t="str">
        <f t="shared" si="31"/>
        <v/>
      </c>
    </row>
    <row r="464" spans="1:22">
      <c r="A464" s="6"/>
      <c r="H464" s="25"/>
      <c r="I464" s="25"/>
      <c r="J464" s="25"/>
      <c r="K464" s="25"/>
      <c r="L464" s="1" t="str">
        <f t="shared" si="32"/>
        <v/>
      </c>
      <c r="M464" s="1" t="str">
        <f t="shared" si="33"/>
        <v/>
      </c>
      <c r="N464" s="26"/>
      <c r="S464" s="27" t="str">
        <f t="shared" si="34"/>
        <v/>
      </c>
      <c r="T464" s="28" t="str">
        <f t="shared" si="30"/>
        <v/>
      </c>
      <c r="V464" t="str">
        <f t="shared" si="31"/>
        <v/>
      </c>
    </row>
    <row r="465" spans="1:22">
      <c r="A465" s="6"/>
      <c r="H465" s="25"/>
      <c r="I465" s="25"/>
      <c r="J465" s="25"/>
      <c r="K465" s="25"/>
      <c r="L465" s="1" t="str">
        <f t="shared" si="32"/>
        <v/>
      </c>
      <c r="M465" s="1" t="str">
        <f t="shared" si="33"/>
        <v/>
      </c>
      <c r="N465" s="26"/>
      <c r="S465" s="27" t="str">
        <f t="shared" si="34"/>
        <v/>
      </c>
      <c r="T465" s="28" t="str">
        <f t="shared" si="30"/>
        <v/>
      </c>
      <c r="V465" t="str">
        <f t="shared" si="31"/>
        <v/>
      </c>
    </row>
    <row r="466" spans="1:22">
      <c r="A466" s="6"/>
      <c r="H466" s="25"/>
      <c r="I466" s="25"/>
      <c r="J466" s="25"/>
      <c r="K466" s="25"/>
      <c r="L466" s="1" t="str">
        <f t="shared" si="32"/>
        <v/>
      </c>
      <c r="M466" s="1" t="str">
        <f t="shared" si="33"/>
        <v/>
      </c>
      <c r="N466" s="26"/>
      <c r="S466" s="27" t="str">
        <f t="shared" si="34"/>
        <v/>
      </c>
      <c r="T466" s="28" t="str">
        <f t="shared" si="30"/>
        <v/>
      </c>
      <c r="V466" t="str">
        <f t="shared" si="31"/>
        <v/>
      </c>
    </row>
    <row r="467" spans="1:22">
      <c r="A467" s="6"/>
      <c r="H467" s="25"/>
      <c r="I467" s="25"/>
      <c r="J467" s="25"/>
      <c r="K467" s="25"/>
      <c r="L467" s="1" t="str">
        <f t="shared" si="32"/>
        <v/>
      </c>
      <c r="M467" s="1" t="str">
        <f t="shared" si="33"/>
        <v/>
      </c>
      <c r="N467" s="26"/>
      <c r="S467" s="27" t="str">
        <f t="shared" si="34"/>
        <v/>
      </c>
      <c r="T467" s="28" t="str">
        <f t="shared" si="30"/>
        <v/>
      </c>
      <c r="V467" t="str">
        <f t="shared" si="31"/>
        <v/>
      </c>
    </row>
    <row r="468" spans="1:22">
      <c r="A468" s="6"/>
      <c r="H468" s="25"/>
      <c r="I468" s="25"/>
      <c r="J468" s="25"/>
      <c r="K468" s="25"/>
      <c r="L468" s="1" t="str">
        <f t="shared" si="32"/>
        <v/>
      </c>
      <c r="M468" s="1" t="str">
        <f t="shared" si="33"/>
        <v/>
      </c>
      <c r="N468" s="26"/>
      <c r="S468" s="27" t="str">
        <f t="shared" si="34"/>
        <v/>
      </c>
      <c r="T468" s="28" t="str">
        <f t="shared" ref="T468:T531" si="35">IF($A468="","",IF(OR($S468="", $S468&lt;=0, $L468=""),"",ROUND($L468*24*$S468,2)))</f>
        <v/>
      </c>
      <c r="V468" t="str">
        <f t="shared" ref="V468:V531" si="36">IF($A468="","",IF(OR(YEAR($A468)&lt;2020,YEAR($A468)&gt;2030),"Podezřelé datum",IF(OR($F468="",$G468=""),"Chybí letiště",IF(OR($H468="",$I468="",$J468="",$K468=""),"Chybí čas",IF(OR($H468&gt;$I468,$I468&gt;$J468,$J468&gt;$K468),"Časy mimo pořadí",IF($M468&gt;$L468,"Air &gt; Block",IF(OR($S468="", $S468&lt;=0),"Chybí sazba","OK")))))))</f>
        <v/>
      </c>
    </row>
    <row r="469" spans="1:22">
      <c r="A469" s="6"/>
      <c r="H469" s="25"/>
      <c r="I469" s="25"/>
      <c r="J469" s="25"/>
      <c r="K469" s="25"/>
      <c r="L469" s="1" t="str">
        <f t="shared" si="32"/>
        <v/>
      </c>
      <c r="M469" s="1" t="str">
        <f t="shared" si="33"/>
        <v/>
      </c>
      <c r="N469" s="26"/>
      <c r="S469" s="27" t="str">
        <f t="shared" si="34"/>
        <v/>
      </c>
      <c r="T469" s="28" t="str">
        <f t="shared" si="35"/>
        <v/>
      </c>
      <c r="V469" t="str">
        <f t="shared" si="36"/>
        <v/>
      </c>
    </row>
    <row r="470" spans="1:22">
      <c r="A470" s="6"/>
      <c r="H470" s="25"/>
      <c r="I470" s="25"/>
      <c r="J470" s="25"/>
      <c r="K470" s="25"/>
      <c r="L470" s="1" t="str">
        <f t="shared" si="32"/>
        <v/>
      </c>
      <c r="M470" s="1" t="str">
        <f t="shared" si="33"/>
        <v/>
      </c>
      <c r="N470" s="26"/>
      <c r="S470" s="27" t="str">
        <f t="shared" si="34"/>
        <v/>
      </c>
      <c r="T470" s="28" t="str">
        <f t="shared" si="35"/>
        <v/>
      </c>
      <c r="V470" t="str">
        <f t="shared" si="36"/>
        <v/>
      </c>
    </row>
    <row r="471" spans="1:22">
      <c r="A471" s="6"/>
      <c r="H471" s="25"/>
      <c r="I471" s="25"/>
      <c r="J471" s="25"/>
      <c r="K471" s="25"/>
      <c r="L471" s="1" t="str">
        <f t="shared" si="32"/>
        <v/>
      </c>
      <c r="M471" s="1" t="str">
        <f t="shared" si="33"/>
        <v/>
      </c>
      <c r="N471" s="26"/>
      <c r="S471" s="27" t="str">
        <f t="shared" si="34"/>
        <v/>
      </c>
      <c r="T471" s="28" t="str">
        <f t="shared" si="35"/>
        <v/>
      </c>
      <c r="V471" t="str">
        <f t="shared" si="36"/>
        <v/>
      </c>
    </row>
    <row r="472" spans="1:22">
      <c r="A472" s="6"/>
      <c r="H472" s="25"/>
      <c r="I472" s="25"/>
      <c r="J472" s="25"/>
      <c r="K472" s="25"/>
      <c r="L472" s="1" t="str">
        <f t="shared" si="32"/>
        <v/>
      </c>
      <c r="M472" s="1" t="str">
        <f t="shared" si="33"/>
        <v/>
      </c>
      <c r="N472" s="26"/>
      <c r="S472" s="27" t="str">
        <f t="shared" si="34"/>
        <v/>
      </c>
      <c r="T472" s="28" t="str">
        <f t="shared" si="35"/>
        <v/>
      </c>
      <c r="V472" t="str">
        <f t="shared" si="36"/>
        <v/>
      </c>
    </row>
    <row r="473" spans="1:22">
      <c r="A473" s="6"/>
      <c r="H473" s="25"/>
      <c r="I473" s="25"/>
      <c r="J473" s="25"/>
      <c r="K473" s="25"/>
      <c r="L473" s="1" t="str">
        <f t="shared" si="32"/>
        <v/>
      </c>
      <c r="M473" s="1" t="str">
        <f t="shared" si="33"/>
        <v/>
      </c>
      <c r="N473" s="26"/>
      <c r="S473" s="27" t="str">
        <f t="shared" si="34"/>
        <v/>
      </c>
      <c r="T473" s="28" t="str">
        <f t="shared" si="35"/>
        <v/>
      </c>
      <c r="V473" t="str">
        <f t="shared" si="36"/>
        <v/>
      </c>
    </row>
    <row r="474" spans="1:22">
      <c r="A474" s="6"/>
      <c r="H474" s="25"/>
      <c r="I474" s="25"/>
      <c r="J474" s="25"/>
      <c r="K474" s="25"/>
      <c r="L474" s="1" t="str">
        <f t="shared" si="32"/>
        <v/>
      </c>
      <c r="M474" s="1" t="str">
        <f t="shared" si="33"/>
        <v/>
      </c>
      <c r="N474" s="26"/>
      <c r="S474" s="27" t="str">
        <f t="shared" si="34"/>
        <v/>
      </c>
      <c r="T474" s="28" t="str">
        <f t="shared" si="35"/>
        <v/>
      </c>
      <c r="V474" t="str">
        <f t="shared" si="36"/>
        <v/>
      </c>
    </row>
    <row r="475" spans="1:22">
      <c r="A475" s="6"/>
      <c r="H475" s="25"/>
      <c r="I475" s="25"/>
      <c r="J475" s="25"/>
      <c r="K475" s="25"/>
      <c r="L475" s="1" t="str">
        <f t="shared" si="32"/>
        <v/>
      </c>
      <c r="M475" s="1" t="str">
        <f t="shared" si="33"/>
        <v/>
      </c>
      <c r="N475" s="26"/>
      <c r="S475" s="27" t="str">
        <f t="shared" si="34"/>
        <v/>
      </c>
      <c r="T475" s="28" t="str">
        <f t="shared" si="35"/>
        <v/>
      </c>
      <c r="V475" t="str">
        <f t="shared" si="36"/>
        <v/>
      </c>
    </row>
    <row r="476" spans="1:22">
      <c r="A476" s="6"/>
      <c r="H476" s="25"/>
      <c r="I476" s="25"/>
      <c r="J476" s="25"/>
      <c r="K476" s="25"/>
      <c r="L476" s="1" t="str">
        <f t="shared" si="32"/>
        <v/>
      </c>
      <c r="M476" s="1" t="str">
        <f t="shared" si="33"/>
        <v/>
      </c>
      <c r="N476" s="26"/>
      <c r="S476" s="27" t="str">
        <f t="shared" si="34"/>
        <v/>
      </c>
      <c r="T476" s="28" t="str">
        <f t="shared" si="35"/>
        <v/>
      </c>
      <c r="V476" t="str">
        <f t="shared" si="36"/>
        <v/>
      </c>
    </row>
    <row r="477" spans="1:22">
      <c r="A477" s="6"/>
      <c r="H477" s="25"/>
      <c r="I477" s="25"/>
      <c r="J477" s="25"/>
      <c r="K477" s="25"/>
      <c r="L477" s="1" t="str">
        <f t="shared" si="32"/>
        <v/>
      </c>
      <c r="M477" s="1" t="str">
        <f t="shared" si="33"/>
        <v/>
      </c>
      <c r="N477" s="26"/>
      <c r="S477" s="27" t="str">
        <f t="shared" si="34"/>
        <v/>
      </c>
      <c r="T477" s="28" t="str">
        <f t="shared" si="35"/>
        <v/>
      </c>
      <c r="V477" t="str">
        <f t="shared" si="36"/>
        <v/>
      </c>
    </row>
    <row r="478" spans="1:22">
      <c r="A478" s="6"/>
      <c r="H478" s="25"/>
      <c r="I478" s="25"/>
      <c r="J478" s="25"/>
      <c r="K478" s="25"/>
      <c r="L478" s="1" t="str">
        <f t="shared" si="32"/>
        <v/>
      </c>
      <c r="M478" s="1" t="str">
        <f t="shared" si="33"/>
        <v/>
      </c>
      <c r="N478" s="26"/>
      <c r="S478" s="27" t="str">
        <f t="shared" si="34"/>
        <v/>
      </c>
      <c r="T478" s="28" t="str">
        <f t="shared" si="35"/>
        <v/>
      </c>
      <c r="V478" t="str">
        <f t="shared" si="36"/>
        <v/>
      </c>
    </row>
    <row r="479" spans="1:22">
      <c r="A479" s="6"/>
      <c r="H479" s="25"/>
      <c r="I479" s="25"/>
      <c r="J479" s="25"/>
      <c r="K479" s="25"/>
      <c r="L479" s="1" t="str">
        <f t="shared" si="32"/>
        <v/>
      </c>
      <c r="M479" s="1" t="str">
        <f t="shared" si="33"/>
        <v/>
      </c>
      <c r="N479" s="26"/>
      <c r="S479" s="27" t="str">
        <f t="shared" si="34"/>
        <v/>
      </c>
      <c r="T479" s="28" t="str">
        <f t="shared" si="35"/>
        <v/>
      </c>
      <c r="V479" t="str">
        <f t="shared" si="36"/>
        <v/>
      </c>
    </row>
    <row r="480" spans="1:22">
      <c r="A480" s="6"/>
      <c r="H480" s="25"/>
      <c r="I480" s="25"/>
      <c r="J480" s="25"/>
      <c r="K480" s="25"/>
      <c r="L480" s="1" t="str">
        <f t="shared" si="32"/>
        <v/>
      </c>
      <c r="M480" s="1" t="str">
        <f t="shared" si="33"/>
        <v/>
      </c>
      <c r="N480" s="26"/>
      <c r="S480" s="27" t="str">
        <f t="shared" si="34"/>
        <v/>
      </c>
      <c r="T480" s="28" t="str">
        <f t="shared" si="35"/>
        <v/>
      </c>
      <c r="V480" t="str">
        <f t="shared" si="36"/>
        <v/>
      </c>
    </row>
    <row r="481" spans="1:22">
      <c r="A481" s="6"/>
      <c r="H481" s="25"/>
      <c r="I481" s="25"/>
      <c r="J481" s="25"/>
      <c r="K481" s="25"/>
      <c r="L481" s="1" t="str">
        <f t="shared" si="32"/>
        <v/>
      </c>
      <c r="M481" s="1" t="str">
        <f t="shared" si="33"/>
        <v/>
      </c>
      <c r="N481" s="26"/>
      <c r="S481" s="27" t="str">
        <f t="shared" si="34"/>
        <v/>
      </c>
      <c r="T481" s="28" t="str">
        <f t="shared" si="35"/>
        <v/>
      </c>
      <c r="V481" t="str">
        <f t="shared" si="36"/>
        <v/>
      </c>
    </row>
    <row r="482" spans="1:22">
      <c r="A482" s="6"/>
      <c r="H482" s="25"/>
      <c r="I482" s="25"/>
      <c r="J482" s="25"/>
      <c r="K482" s="25"/>
      <c r="L482" s="1" t="str">
        <f t="shared" si="32"/>
        <v/>
      </c>
      <c r="M482" s="1" t="str">
        <f t="shared" si="33"/>
        <v/>
      </c>
      <c r="N482" s="26"/>
      <c r="S482" s="27" t="str">
        <f t="shared" si="34"/>
        <v/>
      </c>
      <c r="T482" s="28" t="str">
        <f t="shared" si="35"/>
        <v/>
      </c>
      <c r="V482" t="str">
        <f t="shared" si="36"/>
        <v/>
      </c>
    </row>
    <row r="483" spans="1:22">
      <c r="A483" s="6"/>
      <c r="H483" s="25"/>
      <c r="I483" s="25"/>
      <c r="J483" s="25"/>
      <c r="K483" s="25"/>
      <c r="L483" s="1" t="str">
        <f t="shared" si="32"/>
        <v/>
      </c>
      <c r="M483" s="1" t="str">
        <f t="shared" si="33"/>
        <v/>
      </c>
      <c r="N483" s="26"/>
      <c r="S483" s="27" t="str">
        <f t="shared" si="34"/>
        <v/>
      </c>
      <c r="T483" s="28" t="str">
        <f t="shared" si="35"/>
        <v/>
      </c>
      <c r="V483" t="str">
        <f t="shared" si="36"/>
        <v/>
      </c>
    </row>
    <row r="484" spans="1:22">
      <c r="A484" s="6"/>
      <c r="H484" s="25"/>
      <c r="I484" s="25"/>
      <c r="J484" s="25"/>
      <c r="K484" s="25"/>
      <c r="L484" s="1" t="str">
        <f t="shared" si="32"/>
        <v/>
      </c>
      <c r="M484" s="1" t="str">
        <f t="shared" si="33"/>
        <v/>
      </c>
      <c r="N484" s="26"/>
      <c r="S484" s="27" t="str">
        <f t="shared" si="34"/>
        <v/>
      </c>
      <c r="T484" s="28" t="str">
        <f t="shared" si="35"/>
        <v/>
      </c>
      <c r="V484" t="str">
        <f t="shared" si="36"/>
        <v/>
      </c>
    </row>
    <row r="485" spans="1:22">
      <c r="A485" s="6"/>
      <c r="H485" s="25"/>
      <c r="I485" s="25"/>
      <c r="J485" s="25"/>
      <c r="K485" s="25"/>
      <c r="L485" s="1" t="str">
        <f t="shared" si="32"/>
        <v/>
      </c>
      <c r="M485" s="1" t="str">
        <f t="shared" si="33"/>
        <v/>
      </c>
      <c r="N485" s="26"/>
      <c r="S485" s="27" t="str">
        <f t="shared" si="34"/>
        <v/>
      </c>
      <c r="T485" s="28" t="str">
        <f t="shared" si="35"/>
        <v/>
      </c>
      <c r="V485" t="str">
        <f t="shared" si="36"/>
        <v/>
      </c>
    </row>
    <row r="486" spans="1:22">
      <c r="A486" s="6"/>
      <c r="H486" s="25"/>
      <c r="I486" s="25"/>
      <c r="J486" s="25"/>
      <c r="K486" s="25"/>
      <c r="L486" s="1" t="str">
        <f t="shared" si="32"/>
        <v/>
      </c>
      <c r="M486" s="1" t="str">
        <f t="shared" si="33"/>
        <v/>
      </c>
      <c r="N486" s="26"/>
      <c r="S486" s="27" t="str">
        <f t="shared" si="34"/>
        <v/>
      </c>
      <c r="T486" s="28" t="str">
        <f t="shared" si="35"/>
        <v/>
      </c>
      <c r="V486" t="str">
        <f t="shared" si="36"/>
        <v/>
      </c>
    </row>
    <row r="487" spans="1:22">
      <c r="A487" s="6"/>
      <c r="H487" s="25"/>
      <c r="I487" s="25"/>
      <c r="J487" s="25"/>
      <c r="K487" s="25"/>
      <c r="L487" s="1" t="str">
        <f t="shared" si="32"/>
        <v/>
      </c>
      <c r="M487" s="1" t="str">
        <f t="shared" si="33"/>
        <v/>
      </c>
      <c r="N487" s="26"/>
      <c r="S487" s="27" t="str">
        <f t="shared" si="34"/>
        <v/>
      </c>
      <c r="T487" s="28" t="str">
        <f t="shared" si="35"/>
        <v/>
      </c>
      <c r="V487" t="str">
        <f t="shared" si="36"/>
        <v/>
      </c>
    </row>
    <row r="488" spans="1:22">
      <c r="A488" s="6"/>
      <c r="H488" s="25"/>
      <c r="I488" s="25"/>
      <c r="J488" s="25"/>
      <c r="K488" s="25"/>
      <c r="L488" s="1" t="str">
        <f t="shared" si="32"/>
        <v/>
      </c>
      <c r="M488" s="1" t="str">
        <f t="shared" si="33"/>
        <v/>
      </c>
      <c r="N488" s="26"/>
      <c r="S488" s="27" t="str">
        <f t="shared" si="34"/>
        <v/>
      </c>
      <c r="T488" s="28" t="str">
        <f t="shared" si="35"/>
        <v/>
      </c>
      <c r="V488" t="str">
        <f t="shared" si="36"/>
        <v/>
      </c>
    </row>
    <row r="489" spans="1:22">
      <c r="A489" s="6"/>
      <c r="H489" s="25"/>
      <c r="I489" s="25"/>
      <c r="J489" s="25"/>
      <c r="K489" s="25"/>
      <c r="L489" s="1" t="str">
        <f t="shared" si="32"/>
        <v/>
      </c>
      <c r="M489" s="1" t="str">
        <f t="shared" si="33"/>
        <v/>
      </c>
      <c r="N489" s="26"/>
      <c r="S489" s="27" t="str">
        <f t="shared" si="34"/>
        <v/>
      </c>
      <c r="T489" s="28" t="str">
        <f t="shared" si="35"/>
        <v/>
      </c>
      <c r="V489" t="str">
        <f t="shared" si="36"/>
        <v/>
      </c>
    </row>
    <row r="490" spans="1:22">
      <c r="A490" s="6"/>
      <c r="H490" s="25"/>
      <c r="I490" s="25"/>
      <c r="J490" s="25"/>
      <c r="K490" s="25"/>
      <c r="L490" s="1" t="str">
        <f t="shared" si="32"/>
        <v/>
      </c>
      <c r="M490" s="1" t="str">
        <f t="shared" si="33"/>
        <v/>
      </c>
      <c r="N490" s="26"/>
      <c r="S490" s="27" t="str">
        <f t="shared" si="34"/>
        <v/>
      </c>
      <c r="T490" s="28" t="str">
        <f t="shared" si="35"/>
        <v/>
      </c>
      <c r="V490" t="str">
        <f t="shared" si="36"/>
        <v/>
      </c>
    </row>
    <row r="491" spans="1:22">
      <c r="A491" s="6"/>
      <c r="H491" s="25"/>
      <c r="I491" s="25"/>
      <c r="J491" s="25"/>
      <c r="K491" s="25"/>
      <c r="L491" s="1" t="str">
        <f t="shared" si="32"/>
        <v/>
      </c>
      <c r="M491" s="1" t="str">
        <f t="shared" si="33"/>
        <v/>
      </c>
      <c r="N491" s="26"/>
      <c r="S491" s="27" t="str">
        <f t="shared" si="34"/>
        <v/>
      </c>
      <c r="T491" s="28" t="str">
        <f t="shared" si="35"/>
        <v/>
      </c>
      <c r="V491" t="str">
        <f t="shared" si="36"/>
        <v/>
      </c>
    </row>
    <row r="492" spans="1:22">
      <c r="A492" s="6"/>
      <c r="H492" s="25"/>
      <c r="I492" s="25"/>
      <c r="J492" s="25"/>
      <c r="K492" s="25"/>
      <c r="L492" s="1" t="str">
        <f t="shared" si="32"/>
        <v/>
      </c>
      <c r="M492" s="1" t="str">
        <f t="shared" si="33"/>
        <v/>
      </c>
      <c r="N492" s="26"/>
      <c r="S492" s="27" t="str">
        <f t="shared" si="34"/>
        <v/>
      </c>
      <c r="T492" s="28" t="str">
        <f t="shared" si="35"/>
        <v/>
      </c>
      <c r="V492" t="str">
        <f t="shared" si="36"/>
        <v/>
      </c>
    </row>
    <row r="493" spans="1:22">
      <c r="A493" s="6"/>
      <c r="H493" s="25"/>
      <c r="I493" s="25"/>
      <c r="J493" s="25"/>
      <c r="K493" s="25"/>
      <c r="L493" s="1" t="str">
        <f t="shared" si="32"/>
        <v/>
      </c>
      <c r="M493" s="1" t="str">
        <f t="shared" si="33"/>
        <v/>
      </c>
      <c r="N493" s="26"/>
      <c r="S493" s="27" t="str">
        <f t="shared" si="34"/>
        <v/>
      </c>
      <c r="T493" s="28" t="str">
        <f t="shared" si="35"/>
        <v/>
      </c>
      <c r="V493" t="str">
        <f t="shared" si="36"/>
        <v/>
      </c>
    </row>
    <row r="494" spans="1:22">
      <c r="A494" s="6"/>
      <c r="H494" s="25"/>
      <c r="I494" s="25"/>
      <c r="J494" s="25"/>
      <c r="K494" s="25"/>
      <c r="L494" s="1" t="str">
        <f t="shared" si="32"/>
        <v/>
      </c>
      <c r="M494" s="1" t="str">
        <f t="shared" si="33"/>
        <v/>
      </c>
      <c r="N494" s="26"/>
      <c r="S494" s="27" t="str">
        <f t="shared" si="34"/>
        <v/>
      </c>
      <c r="T494" s="28" t="str">
        <f t="shared" si="35"/>
        <v/>
      </c>
      <c r="V494" t="str">
        <f t="shared" si="36"/>
        <v/>
      </c>
    </row>
    <row r="495" spans="1:22">
      <c r="A495" s="6"/>
      <c r="H495" s="25"/>
      <c r="I495" s="25"/>
      <c r="J495" s="25"/>
      <c r="K495" s="25"/>
      <c r="L495" s="1" t="str">
        <f t="shared" si="32"/>
        <v/>
      </c>
      <c r="M495" s="1" t="str">
        <f t="shared" si="33"/>
        <v/>
      </c>
      <c r="N495" s="26"/>
      <c r="S495" s="27" t="str">
        <f t="shared" si="34"/>
        <v/>
      </c>
      <c r="T495" s="28" t="str">
        <f t="shared" si="35"/>
        <v/>
      </c>
      <c r="V495" t="str">
        <f t="shared" si="36"/>
        <v/>
      </c>
    </row>
    <row r="496" spans="1:22">
      <c r="A496" s="6"/>
      <c r="H496" s="25"/>
      <c r="I496" s="25"/>
      <c r="J496" s="25"/>
      <c r="K496" s="25"/>
      <c r="L496" s="1" t="str">
        <f t="shared" si="32"/>
        <v/>
      </c>
      <c r="M496" s="1" t="str">
        <f t="shared" si="33"/>
        <v/>
      </c>
      <c r="N496" s="26"/>
      <c r="S496" s="27" t="str">
        <f t="shared" si="34"/>
        <v/>
      </c>
      <c r="T496" s="28" t="str">
        <f t="shared" si="35"/>
        <v/>
      </c>
      <c r="V496" t="str">
        <f t="shared" si="36"/>
        <v/>
      </c>
    </row>
    <row r="497" spans="1:22">
      <c r="A497" s="6"/>
      <c r="H497" s="25"/>
      <c r="I497" s="25"/>
      <c r="J497" s="25"/>
      <c r="K497" s="25"/>
      <c r="L497" s="1" t="str">
        <f t="shared" si="32"/>
        <v/>
      </c>
      <c r="M497" s="1" t="str">
        <f t="shared" si="33"/>
        <v/>
      </c>
      <c r="N497" s="26"/>
      <c r="S497" s="27" t="str">
        <f t="shared" si="34"/>
        <v/>
      </c>
      <c r="T497" s="28" t="str">
        <f t="shared" si="35"/>
        <v/>
      </c>
      <c r="V497" t="str">
        <f t="shared" si="36"/>
        <v/>
      </c>
    </row>
    <row r="498" spans="1:22">
      <c r="A498" s="6"/>
      <c r="H498" s="25"/>
      <c r="I498" s="25"/>
      <c r="J498" s="25"/>
      <c r="K498" s="25"/>
      <c r="L498" s="1" t="str">
        <f t="shared" si="32"/>
        <v/>
      </c>
      <c r="M498" s="1" t="str">
        <f t="shared" si="33"/>
        <v/>
      </c>
      <c r="N498" s="26"/>
      <c r="S498" s="27" t="str">
        <f t="shared" si="34"/>
        <v/>
      </c>
      <c r="T498" s="28" t="str">
        <f t="shared" si="35"/>
        <v/>
      </c>
      <c r="V498" t="str">
        <f t="shared" si="36"/>
        <v/>
      </c>
    </row>
    <row r="499" spans="1:22">
      <c r="A499" s="6"/>
      <c r="H499" s="25"/>
      <c r="I499" s="25"/>
      <c r="J499" s="25"/>
      <c r="K499" s="25"/>
      <c r="L499" s="1" t="str">
        <f t="shared" si="32"/>
        <v/>
      </c>
      <c r="M499" s="1" t="str">
        <f t="shared" si="33"/>
        <v/>
      </c>
      <c r="N499" s="26"/>
      <c r="S499" s="27" t="str">
        <f t="shared" si="34"/>
        <v/>
      </c>
      <c r="T499" s="28" t="str">
        <f t="shared" si="35"/>
        <v/>
      </c>
      <c r="V499" t="str">
        <f t="shared" si="36"/>
        <v/>
      </c>
    </row>
    <row r="500" spans="1:22">
      <c r="A500" s="6"/>
      <c r="H500" s="25"/>
      <c r="I500" s="25"/>
      <c r="J500" s="25"/>
      <c r="K500" s="25"/>
      <c r="L500" s="1" t="str">
        <f t="shared" si="32"/>
        <v/>
      </c>
      <c r="M500" s="1" t="str">
        <f t="shared" si="33"/>
        <v/>
      </c>
      <c r="N500" s="26"/>
      <c r="S500" s="27" t="str">
        <f t="shared" si="34"/>
        <v/>
      </c>
      <c r="T500" s="28" t="str">
        <f t="shared" si="35"/>
        <v/>
      </c>
      <c r="V500" t="str">
        <f t="shared" si="36"/>
        <v/>
      </c>
    </row>
    <row r="501" spans="1:22">
      <c r="A501" s="6"/>
      <c r="H501" s="25"/>
      <c r="I501" s="25"/>
      <c r="J501" s="25"/>
      <c r="K501" s="25"/>
      <c r="L501" s="1" t="str">
        <f t="shared" si="32"/>
        <v/>
      </c>
      <c r="M501" s="1" t="str">
        <f t="shared" si="33"/>
        <v/>
      </c>
      <c r="N501" s="26"/>
      <c r="S501" s="27" t="str">
        <f t="shared" si="34"/>
        <v/>
      </c>
      <c r="T501" s="28" t="str">
        <f t="shared" si="35"/>
        <v/>
      </c>
      <c r="V501" t="str">
        <f t="shared" si="36"/>
        <v/>
      </c>
    </row>
    <row r="502" spans="1:22">
      <c r="A502" s="6"/>
      <c r="H502" s="25"/>
      <c r="I502" s="25"/>
      <c r="J502" s="25"/>
      <c r="K502" s="25"/>
      <c r="L502" s="1" t="str">
        <f t="shared" si="32"/>
        <v/>
      </c>
      <c r="M502" s="1" t="str">
        <f t="shared" si="33"/>
        <v/>
      </c>
      <c r="N502" s="26"/>
      <c r="S502" s="27" t="str">
        <f t="shared" si="34"/>
        <v/>
      </c>
      <c r="T502" s="28" t="str">
        <f t="shared" si="35"/>
        <v/>
      </c>
      <c r="V502" t="str">
        <f t="shared" si="36"/>
        <v/>
      </c>
    </row>
    <row r="503" spans="1:22">
      <c r="A503" s="6"/>
      <c r="H503" s="25"/>
      <c r="I503" s="25"/>
      <c r="J503" s="25"/>
      <c r="K503" s="25"/>
      <c r="L503" s="1" t="str">
        <f t="shared" si="32"/>
        <v/>
      </c>
      <c r="M503" s="1" t="str">
        <f t="shared" si="33"/>
        <v/>
      </c>
      <c r="N503" s="26"/>
      <c r="S503" s="27" t="str">
        <f t="shared" si="34"/>
        <v/>
      </c>
      <c r="T503" s="28" t="str">
        <f t="shared" si="35"/>
        <v/>
      </c>
      <c r="V503" t="str">
        <f t="shared" si="36"/>
        <v/>
      </c>
    </row>
    <row r="504" spans="1:22">
      <c r="A504" s="6"/>
      <c r="H504" s="25"/>
      <c r="I504" s="25"/>
      <c r="J504" s="25"/>
      <c r="K504" s="25"/>
      <c r="L504" s="1" t="str">
        <f t="shared" si="32"/>
        <v/>
      </c>
      <c r="M504" s="1" t="str">
        <f t="shared" si="33"/>
        <v/>
      </c>
      <c r="N504" s="26"/>
      <c r="S504" s="27" t="str">
        <f t="shared" si="34"/>
        <v/>
      </c>
      <c r="T504" s="28" t="str">
        <f t="shared" si="35"/>
        <v/>
      </c>
      <c r="V504" t="str">
        <f t="shared" si="36"/>
        <v/>
      </c>
    </row>
    <row r="505" spans="1:22">
      <c r="A505" s="6"/>
      <c r="H505" s="25"/>
      <c r="I505" s="25"/>
      <c r="J505" s="25"/>
      <c r="K505" s="25"/>
      <c r="L505" s="1" t="str">
        <f t="shared" si="32"/>
        <v/>
      </c>
      <c r="M505" s="1" t="str">
        <f t="shared" si="33"/>
        <v/>
      </c>
      <c r="N505" s="26"/>
      <c r="S505" s="27" t="str">
        <f t="shared" si="34"/>
        <v/>
      </c>
      <c r="T505" s="28" t="str">
        <f t="shared" si="35"/>
        <v/>
      </c>
      <c r="V505" t="str">
        <f t="shared" si="36"/>
        <v/>
      </c>
    </row>
    <row r="506" spans="1:22">
      <c r="A506" s="6"/>
      <c r="H506" s="25"/>
      <c r="I506" s="25"/>
      <c r="J506" s="25"/>
      <c r="K506" s="25"/>
      <c r="L506" s="1" t="str">
        <f t="shared" si="32"/>
        <v/>
      </c>
      <c r="M506" s="1" t="str">
        <f t="shared" si="33"/>
        <v/>
      </c>
      <c r="N506" s="26"/>
      <c r="S506" s="27" t="str">
        <f t="shared" si="34"/>
        <v/>
      </c>
      <c r="T506" s="28" t="str">
        <f t="shared" si="35"/>
        <v/>
      </c>
      <c r="V506" t="str">
        <f t="shared" si="36"/>
        <v/>
      </c>
    </row>
    <row r="507" spans="1:22">
      <c r="A507" s="6"/>
      <c r="H507" s="25"/>
      <c r="I507" s="25"/>
      <c r="J507" s="25"/>
      <c r="K507" s="25"/>
      <c r="L507" s="1" t="str">
        <f t="shared" si="32"/>
        <v/>
      </c>
      <c r="M507" s="1" t="str">
        <f t="shared" si="33"/>
        <v/>
      </c>
      <c r="N507" s="26"/>
      <c r="S507" s="27" t="str">
        <f t="shared" si="34"/>
        <v/>
      </c>
      <c r="T507" s="28" t="str">
        <f t="shared" si="35"/>
        <v/>
      </c>
      <c r="V507" t="str">
        <f t="shared" si="36"/>
        <v/>
      </c>
    </row>
    <row r="508" spans="1:22">
      <c r="A508" s="6"/>
      <c r="H508" s="25"/>
      <c r="I508" s="25"/>
      <c r="J508" s="25"/>
      <c r="K508" s="25"/>
      <c r="L508" s="1" t="str">
        <f t="shared" si="32"/>
        <v/>
      </c>
      <c r="M508" s="1" t="str">
        <f t="shared" si="33"/>
        <v/>
      </c>
      <c r="N508" s="26"/>
      <c r="S508" s="27" t="str">
        <f t="shared" si="34"/>
        <v/>
      </c>
      <c r="T508" s="28" t="str">
        <f t="shared" si="35"/>
        <v/>
      </c>
      <c r="V508" t="str">
        <f t="shared" si="36"/>
        <v/>
      </c>
    </row>
    <row r="509" spans="1:22">
      <c r="A509" s="6"/>
      <c r="H509" s="25"/>
      <c r="I509" s="25"/>
      <c r="J509" s="25"/>
      <c r="K509" s="25"/>
      <c r="L509" s="1" t="str">
        <f t="shared" si="32"/>
        <v/>
      </c>
      <c r="M509" s="1" t="str">
        <f t="shared" si="33"/>
        <v/>
      </c>
      <c r="N509" s="26"/>
      <c r="S509" s="27" t="str">
        <f t="shared" si="34"/>
        <v/>
      </c>
      <c r="T509" s="28" t="str">
        <f t="shared" si="35"/>
        <v/>
      </c>
      <c r="V509" t="str">
        <f t="shared" si="36"/>
        <v/>
      </c>
    </row>
    <row r="510" spans="1:22">
      <c r="A510" s="6"/>
      <c r="H510" s="25"/>
      <c r="I510" s="25"/>
      <c r="J510" s="25"/>
      <c r="K510" s="25"/>
      <c r="L510" s="1" t="str">
        <f t="shared" si="32"/>
        <v/>
      </c>
      <c r="M510" s="1" t="str">
        <f t="shared" si="33"/>
        <v/>
      </c>
      <c r="N510" s="26"/>
      <c r="S510" s="27" t="str">
        <f t="shared" si="34"/>
        <v/>
      </c>
      <c r="T510" s="28" t="str">
        <f t="shared" si="35"/>
        <v/>
      </c>
      <c r="V510" t="str">
        <f t="shared" si="36"/>
        <v/>
      </c>
    </row>
    <row r="511" spans="1:22">
      <c r="A511" s="6"/>
      <c r="H511" s="25"/>
      <c r="I511" s="25"/>
      <c r="J511" s="25"/>
      <c r="K511" s="25"/>
      <c r="L511" s="1" t="str">
        <f t="shared" si="32"/>
        <v/>
      </c>
      <c r="M511" s="1" t="str">
        <f t="shared" si="33"/>
        <v/>
      </c>
      <c r="N511" s="26"/>
      <c r="S511" s="27" t="str">
        <f t="shared" si="34"/>
        <v/>
      </c>
      <c r="T511" s="28" t="str">
        <f t="shared" si="35"/>
        <v/>
      </c>
      <c r="V511" t="str">
        <f t="shared" si="36"/>
        <v/>
      </c>
    </row>
    <row r="512" spans="1:22">
      <c r="A512" s="6"/>
      <c r="H512" s="25"/>
      <c r="I512" s="25"/>
      <c r="J512" s="25"/>
      <c r="K512" s="25"/>
      <c r="L512" s="1" t="str">
        <f t="shared" si="32"/>
        <v/>
      </c>
      <c r="M512" s="1" t="str">
        <f t="shared" si="33"/>
        <v/>
      </c>
      <c r="N512" s="26"/>
      <c r="S512" s="27" t="str">
        <f t="shared" si="34"/>
        <v/>
      </c>
      <c r="T512" s="28" t="str">
        <f t="shared" si="35"/>
        <v/>
      </c>
      <c r="V512" t="str">
        <f t="shared" si="36"/>
        <v/>
      </c>
    </row>
    <row r="513" spans="1:22">
      <c r="A513" s="6"/>
      <c r="H513" s="25"/>
      <c r="I513" s="25"/>
      <c r="J513" s="25"/>
      <c r="K513" s="25"/>
      <c r="L513" s="1" t="str">
        <f t="shared" si="32"/>
        <v/>
      </c>
      <c r="M513" s="1" t="str">
        <f t="shared" si="33"/>
        <v/>
      </c>
      <c r="N513" s="26"/>
      <c r="S513" s="27" t="str">
        <f t="shared" si="34"/>
        <v/>
      </c>
      <c r="T513" s="28" t="str">
        <f t="shared" si="35"/>
        <v/>
      </c>
      <c r="V513" t="str">
        <f t="shared" si="36"/>
        <v/>
      </c>
    </row>
    <row r="514" spans="1:22">
      <c r="A514" s="6"/>
      <c r="H514" s="25"/>
      <c r="I514" s="25"/>
      <c r="J514" s="25"/>
      <c r="K514" s="25"/>
      <c r="L514" s="1" t="str">
        <f t="shared" ref="L514:L577" si="37">IF($A514="","",IF(AND(ISNUMBER($H514),ISNUMBER($K514)),MOD($K514-$H514,1),""))</f>
        <v/>
      </c>
      <c r="M514" s="1" t="str">
        <f t="shared" ref="M514:M577" si="38">IF($A514="","",IF(AND(ISNUMBER($I514),ISNUMBER($J514)),MOD($J514-$I514,1),""))</f>
        <v/>
      </c>
      <c r="N514" s="26"/>
      <c r="S514" s="27" t="str">
        <f t="shared" si="34"/>
        <v/>
      </c>
      <c r="T514" s="28" t="str">
        <f t="shared" si="35"/>
        <v/>
      </c>
      <c r="V514" t="str">
        <f t="shared" si="36"/>
        <v/>
      </c>
    </row>
    <row r="515" spans="1:22">
      <c r="A515" s="6"/>
      <c r="H515" s="25"/>
      <c r="I515" s="25"/>
      <c r="J515" s="25"/>
      <c r="K515" s="25"/>
      <c r="L515" s="1" t="str">
        <f t="shared" si="37"/>
        <v/>
      </c>
      <c r="M515" s="1" t="str">
        <f t="shared" si="38"/>
        <v/>
      </c>
      <c r="N515" s="26"/>
      <c r="S515" s="27" t="str">
        <f t="shared" si="34"/>
        <v/>
      </c>
      <c r="T515" s="28" t="str">
        <f t="shared" si="35"/>
        <v/>
      </c>
      <c r="V515" t="str">
        <f t="shared" si="36"/>
        <v/>
      </c>
    </row>
    <row r="516" spans="1:22">
      <c r="A516" s="6"/>
      <c r="H516" s="25"/>
      <c r="I516" s="25"/>
      <c r="J516" s="25"/>
      <c r="K516" s="25"/>
      <c r="L516" s="1" t="str">
        <f t="shared" si="37"/>
        <v/>
      </c>
      <c r="M516" s="1" t="str">
        <f t="shared" si="38"/>
        <v/>
      </c>
      <c r="N516" s="26"/>
      <c r="S516" s="27" t="str">
        <f t="shared" si="34"/>
        <v/>
      </c>
      <c r="T516" s="28" t="str">
        <f t="shared" si="35"/>
        <v/>
      </c>
      <c r="V516" t="str">
        <f t="shared" si="36"/>
        <v/>
      </c>
    </row>
    <row r="517" spans="1:22">
      <c r="A517" s="6"/>
      <c r="H517" s="25"/>
      <c r="I517" s="25"/>
      <c r="J517" s="25"/>
      <c r="K517" s="25"/>
      <c r="L517" s="1" t="str">
        <f t="shared" si="37"/>
        <v/>
      </c>
      <c r="M517" s="1" t="str">
        <f t="shared" si="38"/>
        <v/>
      </c>
      <c r="N517" s="26"/>
      <c r="S517" s="27" t="str">
        <f t="shared" ref="S517:S580" si="39">IF($C517="","",IF($C517="3344",450,IF($C517="5194",320,IF($C517="6606",290,IF($C517="7430",290,IF($C517="8115",2080,IF($C517="8205",450,IF($C517="8441",260,IF($C517="OK-BIC",3060,IF($C517="OK-BID",3060,IF($C517="OK-BIK",2700,IF($C517="OK-BIL",3060,IF($C517="OK-BIN",3060,IF($C517="OK-BIR",3060,IF($C517="OK-BUG12",2150,IF($C517="OK-CUG23",2370,IF($C517="OK-DAS",5600,IF($C517="OK-DOD",4420,IF($C517="OK-DPH",5000,IF($C517="OK-DUI89",2250,IF($C517="OK-DUI94",4000,IF($C517="OK-EUI10",2250,IF($C517="OK-EUI21",4000,IF($C517="OK-IAF",3060,IF($C517="OK-MPK",3820,IF($C517="OK-NUU90",2080,IF($C517="OK-UUR14",2250,IF($C517="OK-WUS17",3500,IF($C517="OK-XAI04",1860,"")))))))))))))))))))))))))))))</f>
        <v/>
      </c>
      <c r="T517" s="28" t="str">
        <f t="shared" si="35"/>
        <v/>
      </c>
      <c r="V517" t="str">
        <f t="shared" si="36"/>
        <v/>
      </c>
    </row>
    <row r="518" spans="1:22">
      <c r="A518" s="6"/>
      <c r="H518" s="25"/>
      <c r="I518" s="25"/>
      <c r="J518" s="25"/>
      <c r="K518" s="25"/>
      <c r="L518" s="1" t="str">
        <f t="shared" si="37"/>
        <v/>
      </c>
      <c r="M518" s="1" t="str">
        <f t="shared" si="38"/>
        <v/>
      </c>
      <c r="N518" s="26"/>
      <c r="S518" s="27" t="str">
        <f t="shared" si="39"/>
        <v/>
      </c>
      <c r="T518" s="28" t="str">
        <f t="shared" si="35"/>
        <v/>
      </c>
      <c r="V518" t="str">
        <f t="shared" si="36"/>
        <v/>
      </c>
    </row>
    <row r="519" spans="1:22">
      <c r="A519" s="6"/>
      <c r="H519" s="25"/>
      <c r="I519" s="25"/>
      <c r="J519" s="25"/>
      <c r="K519" s="25"/>
      <c r="L519" s="1" t="str">
        <f t="shared" si="37"/>
        <v/>
      </c>
      <c r="M519" s="1" t="str">
        <f t="shared" si="38"/>
        <v/>
      </c>
      <c r="N519" s="26"/>
      <c r="S519" s="27" t="str">
        <f t="shared" si="39"/>
        <v/>
      </c>
      <c r="T519" s="28" t="str">
        <f t="shared" si="35"/>
        <v/>
      </c>
      <c r="V519" t="str">
        <f t="shared" si="36"/>
        <v/>
      </c>
    </row>
    <row r="520" spans="1:22">
      <c r="A520" s="6"/>
      <c r="H520" s="25"/>
      <c r="I520" s="25"/>
      <c r="J520" s="25"/>
      <c r="K520" s="25"/>
      <c r="L520" s="1" t="str">
        <f t="shared" si="37"/>
        <v/>
      </c>
      <c r="M520" s="1" t="str">
        <f t="shared" si="38"/>
        <v/>
      </c>
      <c r="N520" s="26"/>
      <c r="S520" s="27" t="str">
        <f t="shared" si="39"/>
        <v/>
      </c>
      <c r="T520" s="28" t="str">
        <f t="shared" si="35"/>
        <v/>
      </c>
      <c r="V520" t="str">
        <f t="shared" si="36"/>
        <v/>
      </c>
    </row>
    <row r="521" spans="1:22">
      <c r="A521" s="6"/>
      <c r="H521" s="25"/>
      <c r="I521" s="25"/>
      <c r="J521" s="25"/>
      <c r="K521" s="25"/>
      <c r="L521" s="1" t="str">
        <f t="shared" si="37"/>
        <v/>
      </c>
      <c r="M521" s="1" t="str">
        <f t="shared" si="38"/>
        <v/>
      </c>
      <c r="N521" s="26"/>
      <c r="S521" s="27" t="str">
        <f t="shared" si="39"/>
        <v/>
      </c>
      <c r="T521" s="28" t="str">
        <f t="shared" si="35"/>
        <v/>
      </c>
      <c r="V521" t="str">
        <f t="shared" si="36"/>
        <v/>
      </c>
    </row>
    <row r="522" spans="1:22">
      <c r="A522" s="6"/>
      <c r="H522" s="25"/>
      <c r="I522" s="25"/>
      <c r="J522" s="25"/>
      <c r="K522" s="25"/>
      <c r="L522" s="1" t="str">
        <f t="shared" si="37"/>
        <v/>
      </c>
      <c r="M522" s="1" t="str">
        <f t="shared" si="38"/>
        <v/>
      </c>
      <c r="N522" s="26"/>
      <c r="S522" s="27" t="str">
        <f t="shared" si="39"/>
        <v/>
      </c>
      <c r="T522" s="28" t="str">
        <f t="shared" si="35"/>
        <v/>
      </c>
      <c r="V522" t="str">
        <f t="shared" si="36"/>
        <v/>
      </c>
    </row>
    <row r="523" spans="1:22">
      <c r="A523" s="6"/>
      <c r="H523" s="25"/>
      <c r="I523" s="25"/>
      <c r="J523" s="25"/>
      <c r="K523" s="25"/>
      <c r="L523" s="1" t="str">
        <f t="shared" si="37"/>
        <v/>
      </c>
      <c r="M523" s="1" t="str">
        <f t="shared" si="38"/>
        <v/>
      </c>
      <c r="N523" s="26"/>
      <c r="S523" s="27" t="str">
        <f t="shared" si="39"/>
        <v/>
      </c>
      <c r="T523" s="28" t="str">
        <f t="shared" si="35"/>
        <v/>
      </c>
      <c r="V523" t="str">
        <f t="shared" si="36"/>
        <v/>
      </c>
    </row>
    <row r="524" spans="1:22">
      <c r="A524" s="6"/>
      <c r="H524" s="25"/>
      <c r="I524" s="25"/>
      <c r="J524" s="25"/>
      <c r="K524" s="25"/>
      <c r="L524" s="1" t="str">
        <f t="shared" si="37"/>
        <v/>
      </c>
      <c r="M524" s="1" t="str">
        <f t="shared" si="38"/>
        <v/>
      </c>
      <c r="N524" s="26"/>
      <c r="S524" s="27" t="str">
        <f t="shared" si="39"/>
        <v/>
      </c>
      <c r="T524" s="28" t="str">
        <f t="shared" si="35"/>
        <v/>
      </c>
      <c r="V524" t="str">
        <f t="shared" si="36"/>
        <v/>
      </c>
    </row>
    <row r="525" spans="1:22">
      <c r="A525" s="6"/>
      <c r="H525" s="25"/>
      <c r="I525" s="25"/>
      <c r="J525" s="25"/>
      <c r="K525" s="25"/>
      <c r="L525" s="1" t="str">
        <f t="shared" si="37"/>
        <v/>
      </c>
      <c r="M525" s="1" t="str">
        <f t="shared" si="38"/>
        <v/>
      </c>
      <c r="N525" s="26"/>
      <c r="S525" s="27" t="str">
        <f t="shared" si="39"/>
        <v/>
      </c>
      <c r="T525" s="28" t="str">
        <f t="shared" si="35"/>
        <v/>
      </c>
      <c r="V525" t="str">
        <f t="shared" si="36"/>
        <v/>
      </c>
    </row>
    <row r="526" spans="1:22">
      <c r="A526" s="6"/>
      <c r="H526" s="25"/>
      <c r="I526" s="25"/>
      <c r="J526" s="25"/>
      <c r="K526" s="25"/>
      <c r="L526" s="1" t="str">
        <f t="shared" si="37"/>
        <v/>
      </c>
      <c r="M526" s="1" t="str">
        <f t="shared" si="38"/>
        <v/>
      </c>
      <c r="N526" s="26"/>
      <c r="S526" s="27" t="str">
        <f t="shared" si="39"/>
        <v/>
      </c>
      <c r="T526" s="28" t="str">
        <f t="shared" si="35"/>
        <v/>
      </c>
      <c r="V526" t="str">
        <f t="shared" si="36"/>
        <v/>
      </c>
    </row>
    <row r="527" spans="1:22">
      <c r="A527" s="6"/>
      <c r="H527" s="25"/>
      <c r="I527" s="25"/>
      <c r="J527" s="25"/>
      <c r="K527" s="25"/>
      <c r="L527" s="1" t="str">
        <f t="shared" si="37"/>
        <v/>
      </c>
      <c r="M527" s="1" t="str">
        <f t="shared" si="38"/>
        <v/>
      </c>
      <c r="N527" s="26"/>
      <c r="S527" s="27" t="str">
        <f t="shared" si="39"/>
        <v/>
      </c>
      <c r="T527" s="28" t="str">
        <f t="shared" si="35"/>
        <v/>
      </c>
      <c r="V527" t="str">
        <f t="shared" si="36"/>
        <v/>
      </c>
    </row>
    <row r="528" spans="1:22">
      <c r="A528" s="6"/>
      <c r="H528" s="25"/>
      <c r="I528" s="25"/>
      <c r="J528" s="25"/>
      <c r="K528" s="25"/>
      <c r="L528" s="1" t="str">
        <f t="shared" si="37"/>
        <v/>
      </c>
      <c r="M528" s="1" t="str">
        <f t="shared" si="38"/>
        <v/>
      </c>
      <c r="N528" s="26"/>
      <c r="S528" s="27" t="str">
        <f t="shared" si="39"/>
        <v/>
      </c>
      <c r="T528" s="28" t="str">
        <f t="shared" si="35"/>
        <v/>
      </c>
      <c r="V528" t="str">
        <f t="shared" si="36"/>
        <v/>
      </c>
    </row>
    <row r="529" spans="1:22">
      <c r="A529" s="6"/>
      <c r="H529" s="25"/>
      <c r="I529" s="25"/>
      <c r="J529" s="25"/>
      <c r="K529" s="25"/>
      <c r="L529" s="1" t="str">
        <f t="shared" si="37"/>
        <v/>
      </c>
      <c r="M529" s="1" t="str">
        <f t="shared" si="38"/>
        <v/>
      </c>
      <c r="N529" s="26"/>
      <c r="S529" s="27" t="str">
        <f t="shared" si="39"/>
        <v/>
      </c>
      <c r="T529" s="28" t="str">
        <f t="shared" si="35"/>
        <v/>
      </c>
      <c r="V529" t="str">
        <f t="shared" si="36"/>
        <v/>
      </c>
    </row>
    <row r="530" spans="1:22">
      <c r="A530" s="6"/>
      <c r="H530" s="25"/>
      <c r="I530" s="25"/>
      <c r="J530" s="25"/>
      <c r="K530" s="25"/>
      <c r="L530" s="1" t="str">
        <f t="shared" si="37"/>
        <v/>
      </c>
      <c r="M530" s="1" t="str">
        <f t="shared" si="38"/>
        <v/>
      </c>
      <c r="N530" s="26"/>
      <c r="S530" s="27" t="str">
        <f t="shared" si="39"/>
        <v/>
      </c>
      <c r="T530" s="28" t="str">
        <f t="shared" si="35"/>
        <v/>
      </c>
      <c r="V530" t="str">
        <f t="shared" si="36"/>
        <v/>
      </c>
    </row>
    <row r="531" spans="1:22">
      <c r="A531" s="6"/>
      <c r="H531" s="25"/>
      <c r="I531" s="25"/>
      <c r="J531" s="25"/>
      <c r="K531" s="25"/>
      <c r="L531" s="1" t="str">
        <f t="shared" si="37"/>
        <v/>
      </c>
      <c r="M531" s="1" t="str">
        <f t="shared" si="38"/>
        <v/>
      </c>
      <c r="N531" s="26"/>
      <c r="S531" s="27" t="str">
        <f t="shared" si="39"/>
        <v/>
      </c>
      <c r="T531" s="28" t="str">
        <f t="shared" si="35"/>
        <v/>
      </c>
      <c r="V531" t="str">
        <f t="shared" si="36"/>
        <v/>
      </c>
    </row>
    <row r="532" spans="1:22">
      <c r="A532" s="6"/>
      <c r="H532" s="25"/>
      <c r="I532" s="25"/>
      <c r="J532" s="25"/>
      <c r="K532" s="25"/>
      <c r="L532" s="1" t="str">
        <f t="shared" si="37"/>
        <v/>
      </c>
      <c r="M532" s="1" t="str">
        <f t="shared" si="38"/>
        <v/>
      </c>
      <c r="N532" s="26"/>
      <c r="S532" s="27" t="str">
        <f t="shared" si="39"/>
        <v/>
      </c>
      <c r="T532" s="28" t="str">
        <f t="shared" ref="T532:T595" si="40">IF($A532="","",IF(OR($S532="", $S532&lt;=0, $L532=""),"",ROUND($L532*24*$S532,2)))</f>
        <v/>
      </c>
      <c r="V532" t="str">
        <f t="shared" ref="V532:V595" si="41">IF($A532="","",IF(OR(YEAR($A532)&lt;2020,YEAR($A532)&gt;2030),"Podezřelé datum",IF(OR($F532="",$G532=""),"Chybí letiště",IF(OR($H532="",$I532="",$J532="",$K532=""),"Chybí čas",IF(OR($H532&gt;$I532,$I532&gt;$J532,$J532&gt;$K532),"Časy mimo pořadí",IF($M532&gt;$L532,"Air &gt; Block",IF(OR($S532="", $S532&lt;=0),"Chybí sazba","OK")))))))</f>
        <v/>
      </c>
    </row>
    <row r="533" spans="1:22">
      <c r="A533" s="6"/>
      <c r="H533" s="25"/>
      <c r="I533" s="25"/>
      <c r="J533" s="25"/>
      <c r="K533" s="25"/>
      <c r="L533" s="1" t="str">
        <f t="shared" si="37"/>
        <v/>
      </c>
      <c r="M533" s="1" t="str">
        <f t="shared" si="38"/>
        <v/>
      </c>
      <c r="N533" s="26"/>
      <c r="S533" s="27" t="str">
        <f t="shared" si="39"/>
        <v/>
      </c>
      <c r="T533" s="28" t="str">
        <f t="shared" si="40"/>
        <v/>
      </c>
      <c r="V533" t="str">
        <f t="shared" si="41"/>
        <v/>
      </c>
    </row>
    <row r="534" spans="1:22">
      <c r="A534" s="6"/>
      <c r="H534" s="25"/>
      <c r="I534" s="25"/>
      <c r="J534" s="25"/>
      <c r="K534" s="25"/>
      <c r="L534" s="1" t="str">
        <f t="shared" si="37"/>
        <v/>
      </c>
      <c r="M534" s="1" t="str">
        <f t="shared" si="38"/>
        <v/>
      </c>
      <c r="N534" s="26"/>
      <c r="S534" s="27" t="str">
        <f t="shared" si="39"/>
        <v/>
      </c>
      <c r="T534" s="28" t="str">
        <f t="shared" si="40"/>
        <v/>
      </c>
      <c r="V534" t="str">
        <f t="shared" si="41"/>
        <v/>
      </c>
    </row>
    <row r="535" spans="1:22">
      <c r="A535" s="6"/>
      <c r="H535" s="25"/>
      <c r="I535" s="25"/>
      <c r="J535" s="25"/>
      <c r="K535" s="25"/>
      <c r="L535" s="1" t="str">
        <f t="shared" si="37"/>
        <v/>
      </c>
      <c r="M535" s="1" t="str">
        <f t="shared" si="38"/>
        <v/>
      </c>
      <c r="N535" s="26"/>
      <c r="S535" s="27" t="str">
        <f t="shared" si="39"/>
        <v/>
      </c>
      <c r="T535" s="28" t="str">
        <f t="shared" si="40"/>
        <v/>
      </c>
      <c r="V535" t="str">
        <f t="shared" si="41"/>
        <v/>
      </c>
    </row>
    <row r="536" spans="1:22">
      <c r="A536" s="6"/>
      <c r="H536" s="25"/>
      <c r="I536" s="25"/>
      <c r="J536" s="25"/>
      <c r="K536" s="25"/>
      <c r="L536" s="1" t="str">
        <f t="shared" si="37"/>
        <v/>
      </c>
      <c r="M536" s="1" t="str">
        <f t="shared" si="38"/>
        <v/>
      </c>
      <c r="N536" s="26"/>
      <c r="S536" s="27" t="str">
        <f t="shared" si="39"/>
        <v/>
      </c>
      <c r="T536" s="28" t="str">
        <f t="shared" si="40"/>
        <v/>
      </c>
      <c r="V536" t="str">
        <f t="shared" si="41"/>
        <v/>
      </c>
    </row>
    <row r="537" spans="1:22">
      <c r="A537" s="6"/>
      <c r="H537" s="25"/>
      <c r="I537" s="25"/>
      <c r="J537" s="25"/>
      <c r="K537" s="25"/>
      <c r="L537" s="1" t="str">
        <f t="shared" si="37"/>
        <v/>
      </c>
      <c r="M537" s="1" t="str">
        <f t="shared" si="38"/>
        <v/>
      </c>
      <c r="N537" s="26"/>
      <c r="S537" s="27" t="str">
        <f t="shared" si="39"/>
        <v/>
      </c>
      <c r="T537" s="28" t="str">
        <f t="shared" si="40"/>
        <v/>
      </c>
      <c r="V537" t="str">
        <f t="shared" si="41"/>
        <v/>
      </c>
    </row>
    <row r="538" spans="1:22">
      <c r="A538" s="6"/>
      <c r="H538" s="25"/>
      <c r="I538" s="25"/>
      <c r="J538" s="25"/>
      <c r="K538" s="25"/>
      <c r="L538" s="1" t="str">
        <f t="shared" si="37"/>
        <v/>
      </c>
      <c r="M538" s="1" t="str">
        <f t="shared" si="38"/>
        <v/>
      </c>
      <c r="N538" s="26"/>
      <c r="S538" s="27" t="str">
        <f t="shared" si="39"/>
        <v/>
      </c>
      <c r="T538" s="28" t="str">
        <f t="shared" si="40"/>
        <v/>
      </c>
      <c r="V538" t="str">
        <f t="shared" si="41"/>
        <v/>
      </c>
    </row>
    <row r="539" spans="1:22">
      <c r="A539" s="6"/>
      <c r="H539" s="25"/>
      <c r="I539" s="25"/>
      <c r="J539" s="25"/>
      <c r="K539" s="25"/>
      <c r="L539" s="1" t="str">
        <f t="shared" si="37"/>
        <v/>
      </c>
      <c r="M539" s="1" t="str">
        <f t="shared" si="38"/>
        <v/>
      </c>
      <c r="N539" s="26"/>
      <c r="S539" s="27" t="str">
        <f t="shared" si="39"/>
        <v/>
      </c>
      <c r="T539" s="28" t="str">
        <f t="shared" si="40"/>
        <v/>
      </c>
      <c r="V539" t="str">
        <f t="shared" si="41"/>
        <v/>
      </c>
    </row>
    <row r="540" spans="1:22">
      <c r="A540" s="6"/>
      <c r="H540" s="25"/>
      <c r="I540" s="25"/>
      <c r="J540" s="25"/>
      <c r="K540" s="25"/>
      <c r="L540" s="1" t="str">
        <f t="shared" si="37"/>
        <v/>
      </c>
      <c r="M540" s="1" t="str">
        <f t="shared" si="38"/>
        <v/>
      </c>
      <c r="N540" s="26"/>
      <c r="S540" s="27" t="str">
        <f t="shared" si="39"/>
        <v/>
      </c>
      <c r="T540" s="28" t="str">
        <f t="shared" si="40"/>
        <v/>
      </c>
      <c r="V540" t="str">
        <f t="shared" si="41"/>
        <v/>
      </c>
    </row>
    <row r="541" spans="1:22">
      <c r="A541" s="6"/>
      <c r="H541" s="25"/>
      <c r="I541" s="25"/>
      <c r="J541" s="25"/>
      <c r="K541" s="25"/>
      <c r="L541" s="1" t="str">
        <f t="shared" si="37"/>
        <v/>
      </c>
      <c r="M541" s="1" t="str">
        <f t="shared" si="38"/>
        <v/>
      </c>
      <c r="N541" s="26"/>
      <c r="S541" s="27" t="str">
        <f t="shared" si="39"/>
        <v/>
      </c>
      <c r="T541" s="28" t="str">
        <f t="shared" si="40"/>
        <v/>
      </c>
      <c r="V541" t="str">
        <f t="shared" si="41"/>
        <v/>
      </c>
    </row>
    <row r="542" spans="1:22">
      <c r="A542" s="6"/>
      <c r="H542" s="25"/>
      <c r="I542" s="25"/>
      <c r="J542" s="25"/>
      <c r="K542" s="25"/>
      <c r="L542" s="1" t="str">
        <f t="shared" si="37"/>
        <v/>
      </c>
      <c r="M542" s="1" t="str">
        <f t="shared" si="38"/>
        <v/>
      </c>
      <c r="N542" s="26"/>
      <c r="S542" s="27" t="str">
        <f t="shared" si="39"/>
        <v/>
      </c>
      <c r="T542" s="28" t="str">
        <f t="shared" si="40"/>
        <v/>
      </c>
      <c r="V542" t="str">
        <f t="shared" si="41"/>
        <v/>
      </c>
    </row>
    <row r="543" spans="1:22">
      <c r="A543" s="6"/>
      <c r="H543" s="25"/>
      <c r="I543" s="25"/>
      <c r="J543" s="25"/>
      <c r="K543" s="25"/>
      <c r="L543" s="1" t="str">
        <f t="shared" si="37"/>
        <v/>
      </c>
      <c r="M543" s="1" t="str">
        <f t="shared" si="38"/>
        <v/>
      </c>
      <c r="N543" s="26"/>
      <c r="S543" s="27" t="str">
        <f t="shared" si="39"/>
        <v/>
      </c>
      <c r="T543" s="28" t="str">
        <f t="shared" si="40"/>
        <v/>
      </c>
      <c r="V543" t="str">
        <f t="shared" si="41"/>
        <v/>
      </c>
    </row>
    <row r="544" spans="1:22">
      <c r="A544" s="6"/>
      <c r="H544" s="25"/>
      <c r="I544" s="25"/>
      <c r="J544" s="25"/>
      <c r="K544" s="25"/>
      <c r="L544" s="1" t="str">
        <f t="shared" si="37"/>
        <v/>
      </c>
      <c r="M544" s="1" t="str">
        <f t="shared" si="38"/>
        <v/>
      </c>
      <c r="N544" s="26"/>
      <c r="S544" s="27" t="str">
        <f t="shared" si="39"/>
        <v/>
      </c>
      <c r="T544" s="28" t="str">
        <f t="shared" si="40"/>
        <v/>
      </c>
      <c r="V544" t="str">
        <f t="shared" si="41"/>
        <v/>
      </c>
    </row>
    <row r="545" spans="1:22">
      <c r="A545" s="6"/>
      <c r="H545" s="25"/>
      <c r="I545" s="25"/>
      <c r="J545" s="25"/>
      <c r="K545" s="25"/>
      <c r="L545" s="1" t="str">
        <f t="shared" si="37"/>
        <v/>
      </c>
      <c r="M545" s="1" t="str">
        <f t="shared" si="38"/>
        <v/>
      </c>
      <c r="N545" s="26"/>
      <c r="S545" s="27" t="str">
        <f t="shared" si="39"/>
        <v/>
      </c>
      <c r="T545" s="28" t="str">
        <f t="shared" si="40"/>
        <v/>
      </c>
      <c r="V545" t="str">
        <f t="shared" si="41"/>
        <v/>
      </c>
    </row>
    <row r="546" spans="1:22">
      <c r="A546" s="6"/>
      <c r="H546" s="25"/>
      <c r="I546" s="25"/>
      <c r="J546" s="25"/>
      <c r="K546" s="25"/>
      <c r="L546" s="1" t="str">
        <f t="shared" si="37"/>
        <v/>
      </c>
      <c r="M546" s="1" t="str">
        <f t="shared" si="38"/>
        <v/>
      </c>
      <c r="N546" s="26"/>
      <c r="S546" s="27" t="str">
        <f t="shared" si="39"/>
        <v/>
      </c>
      <c r="T546" s="28" t="str">
        <f t="shared" si="40"/>
        <v/>
      </c>
      <c r="V546" t="str">
        <f t="shared" si="41"/>
        <v/>
      </c>
    </row>
    <row r="547" spans="1:22">
      <c r="A547" s="6"/>
      <c r="H547" s="25"/>
      <c r="I547" s="25"/>
      <c r="J547" s="25"/>
      <c r="K547" s="25"/>
      <c r="L547" s="1" t="str">
        <f t="shared" si="37"/>
        <v/>
      </c>
      <c r="M547" s="1" t="str">
        <f t="shared" si="38"/>
        <v/>
      </c>
      <c r="N547" s="26"/>
      <c r="S547" s="27" t="str">
        <f t="shared" si="39"/>
        <v/>
      </c>
      <c r="T547" s="28" t="str">
        <f t="shared" si="40"/>
        <v/>
      </c>
      <c r="V547" t="str">
        <f t="shared" si="41"/>
        <v/>
      </c>
    </row>
    <row r="548" spans="1:22">
      <c r="A548" s="6"/>
      <c r="H548" s="25"/>
      <c r="I548" s="25"/>
      <c r="J548" s="25"/>
      <c r="K548" s="25"/>
      <c r="L548" s="1" t="str">
        <f t="shared" si="37"/>
        <v/>
      </c>
      <c r="M548" s="1" t="str">
        <f t="shared" si="38"/>
        <v/>
      </c>
      <c r="N548" s="26"/>
      <c r="S548" s="27" t="str">
        <f t="shared" si="39"/>
        <v/>
      </c>
      <c r="T548" s="28" t="str">
        <f t="shared" si="40"/>
        <v/>
      </c>
      <c r="V548" t="str">
        <f t="shared" si="41"/>
        <v/>
      </c>
    </row>
    <row r="549" spans="1:22">
      <c r="A549" s="6"/>
      <c r="H549" s="25"/>
      <c r="I549" s="25"/>
      <c r="J549" s="25"/>
      <c r="K549" s="25"/>
      <c r="L549" s="1" t="str">
        <f t="shared" si="37"/>
        <v/>
      </c>
      <c r="M549" s="1" t="str">
        <f t="shared" si="38"/>
        <v/>
      </c>
      <c r="N549" s="26"/>
      <c r="S549" s="27" t="str">
        <f t="shared" si="39"/>
        <v/>
      </c>
      <c r="T549" s="28" t="str">
        <f t="shared" si="40"/>
        <v/>
      </c>
      <c r="V549" t="str">
        <f t="shared" si="41"/>
        <v/>
      </c>
    </row>
    <row r="550" spans="1:22">
      <c r="A550" s="6"/>
      <c r="H550" s="25"/>
      <c r="I550" s="25"/>
      <c r="J550" s="25"/>
      <c r="K550" s="25"/>
      <c r="L550" s="1" t="str">
        <f t="shared" si="37"/>
        <v/>
      </c>
      <c r="M550" s="1" t="str">
        <f t="shared" si="38"/>
        <v/>
      </c>
      <c r="N550" s="26"/>
      <c r="S550" s="27" t="str">
        <f t="shared" si="39"/>
        <v/>
      </c>
      <c r="T550" s="28" t="str">
        <f t="shared" si="40"/>
        <v/>
      </c>
      <c r="V550" t="str">
        <f t="shared" si="41"/>
        <v/>
      </c>
    </row>
    <row r="551" spans="1:22">
      <c r="A551" s="6"/>
      <c r="H551" s="25"/>
      <c r="I551" s="25"/>
      <c r="J551" s="25"/>
      <c r="K551" s="25"/>
      <c r="L551" s="1" t="str">
        <f t="shared" si="37"/>
        <v/>
      </c>
      <c r="M551" s="1" t="str">
        <f t="shared" si="38"/>
        <v/>
      </c>
      <c r="N551" s="26"/>
      <c r="S551" s="27" t="str">
        <f t="shared" si="39"/>
        <v/>
      </c>
      <c r="T551" s="28" t="str">
        <f t="shared" si="40"/>
        <v/>
      </c>
      <c r="V551" t="str">
        <f t="shared" si="41"/>
        <v/>
      </c>
    </row>
    <row r="552" spans="1:22">
      <c r="A552" s="6"/>
      <c r="H552" s="25"/>
      <c r="I552" s="25"/>
      <c r="J552" s="25"/>
      <c r="K552" s="25"/>
      <c r="L552" s="1" t="str">
        <f t="shared" si="37"/>
        <v/>
      </c>
      <c r="M552" s="1" t="str">
        <f t="shared" si="38"/>
        <v/>
      </c>
      <c r="N552" s="26"/>
      <c r="S552" s="27" t="str">
        <f t="shared" si="39"/>
        <v/>
      </c>
      <c r="T552" s="28" t="str">
        <f t="shared" si="40"/>
        <v/>
      </c>
      <c r="V552" t="str">
        <f t="shared" si="41"/>
        <v/>
      </c>
    </row>
    <row r="553" spans="1:22">
      <c r="A553" s="6"/>
      <c r="H553" s="25"/>
      <c r="I553" s="25"/>
      <c r="J553" s="25"/>
      <c r="K553" s="25"/>
      <c r="L553" s="1" t="str">
        <f t="shared" si="37"/>
        <v/>
      </c>
      <c r="M553" s="1" t="str">
        <f t="shared" si="38"/>
        <v/>
      </c>
      <c r="N553" s="26"/>
      <c r="S553" s="27" t="str">
        <f t="shared" si="39"/>
        <v/>
      </c>
      <c r="T553" s="28" t="str">
        <f t="shared" si="40"/>
        <v/>
      </c>
      <c r="V553" t="str">
        <f t="shared" si="41"/>
        <v/>
      </c>
    </row>
    <row r="554" spans="1:22">
      <c r="A554" s="6"/>
      <c r="H554" s="25"/>
      <c r="I554" s="25"/>
      <c r="J554" s="25"/>
      <c r="K554" s="25"/>
      <c r="L554" s="1" t="str">
        <f t="shared" si="37"/>
        <v/>
      </c>
      <c r="M554" s="1" t="str">
        <f t="shared" si="38"/>
        <v/>
      </c>
      <c r="N554" s="26"/>
      <c r="S554" s="27" t="str">
        <f t="shared" si="39"/>
        <v/>
      </c>
      <c r="T554" s="28" t="str">
        <f t="shared" si="40"/>
        <v/>
      </c>
      <c r="V554" t="str">
        <f t="shared" si="41"/>
        <v/>
      </c>
    </row>
    <row r="555" spans="1:22">
      <c r="A555" s="6"/>
      <c r="H555" s="25"/>
      <c r="I555" s="25"/>
      <c r="J555" s="25"/>
      <c r="K555" s="25"/>
      <c r="L555" s="1" t="str">
        <f t="shared" si="37"/>
        <v/>
      </c>
      <c r="M555" s="1" t="str">
        <f t="shared" si="38"/>
        <v/>
      </c>
      <c r="N555" s="26"/>
      <c r="S555" s="27" t="str">
        <f t="shared" si="39"/>
        <v/>
      </c>
      <c r="T555" s="28" t="str">
        <f t="shared" si="40"/>
        <v/>
      </c>
      <c r="V555" t="str">
        <f t="shared" si="41"/>
        <v/>
      </c>
    </row>
    <row r="556" spans="1:22">
      <c r="A556" s="6"/>
      <c r="H556" s="25"/>
      <c r="I556" s="25"/>
      <c r="J556" s="25"/>
      <c r="K556" s="25"/>
      <c r="L556" s="1" t="str">
        <f t="shared" si="37"/>
        <v/>
      </c>
      <c r="M556" s="1" t="str">
        <f t="shared" si="38"/>
        <v/>
      </c>
      <c r="N556" s="26"/>
      <c r="S556" s="27" t="str">
        <f t="shared" si="39"/>
        <v/>
      </c>
      <c r="T556" s="28" t="str">
        <f t="shared" si="40"/>
        <v/>
      </c>
      <c r="V556" t="str">
        <f t="shared" si="41"/>
        <v/>
      </c>
    </row>
    <row r="557" spans="1:22">
      <c r="A557" s="6"/>
      <c r="H557" s="25"/>
      <c r="I557" s="25"/>
      <c r="J557" s="25"/>
      <c r="K557" s="25"/>
      <c r="L557" s="1" t="str">
        <f t="shared" si="37"/>
        <v/>
      </c>
      <c r="M557" s="1" t="str">
        <f t="shared" si="38"/>
        <v/>
      </c>
      <c r="N557" s="26"/>
      <c r="S557" s="27" t="str">
        <f t="shared" si="39"/>
        <v/>
      </c>
      <c r="T557" s="28" t="str">
        <f t="shared" si="40"/>
        <v/>
      </c>
      <c r="V557" t="str">
        <f t="shared" si="41"/>
        <v/>
      </c>
    </row>
    <row r="558" spans="1:22">
      <c r="A558" s="6"/>
      <c r="H558" s="25"/>
      <c r="I558" s="25"/>
      <c r="J558" s="25"/>
      <c r="K558" s="25"/>
      <c r="L558" s="1" t="str">
        <f t="shared" si="37"/>
        <v/>
      </c>
      <c r="M558" s="1" t="str">
        <f t="shared" si="38"/>
        <v/>
      </c>
      <c r="N558" s="26"/>
      <c r="S558" s="27" t="str">
        <f t="shared" si="39"/>
        <v/>
      </c>
      <c r="T558" s="28" t="str">
        <f t="shared" si="40"/>
        <v/>
      </c>
      <c r="V558" t="str">
        <f t="shared" si="41"/>
        <v/>
      </c>
    </row>
    <row r="559" spans="1:22">
      <c r="A559" s="6"/>
      <c r="H559" s="25"/>
      <c r="I559" s="25"/>
      <c r="J559" s="25"/>
      <c r="K559" s="25"/>
      <c r="L559" s="1" t="str">
        <f t="shared" si="37"/>
        <v/>
      </c>
      <c r="M559" s="1" t="str">
        <f t="shared" si="38"/>
        <v/>
      </c>
      <c r="N559" s="26"/>
      <c r="S559" s="27" t="str">
        <f t="shared" si="39"/>
        <v/>
      </c>
      <c r="T559" s="28" t="str">
        <f t="shared" si="40"/>
        <v/>
      </c>
      <c r="V559" t="str">
        <f t="shared" si="41"/>
        <v/>
      </c>
    </row>
    <row r="560" spans="1:22">
      <c r="A560" s="6"/>
      <c r="H560" s="25"/>
      <c r="I560" s="25"/>
      <c r="J560" s="25"/>
      <c r="K560" s="25"/>
      <c r="L560" s="1" t="str">
        <f t="shared" si="37"/>
        <v/>
      </c>
      <c r="M560" s="1" t="str">
        <f t="shared" si="38"/>
        <v/>
      </c>
      <c r="N560" s="26"/>
      <c r="S560" s="27" t="str">
        <f t="shared" si="39"/>
        <v/>
      </c>
      <c r="T560" s="28" t="str">
        <f t="shared" si="40"/>
        <v/>
      </c>
      <c r="V560" t="str">
        <f t="shared" si="41"/>
        <v/>
      </c>
    </row>
    <row r="561" spans="1:22">
      <c r="A561" s="6"/>
      <c r="H561" s="25"/>
      <c r="I561" s="25"/>
      <c r="J561" s="25"/>
      <c r="K561" s="25"/>
      <c r="L561" s="1" t="str">
        <f t="shared" si="37"/>
        <v/>
      </c>
      <c r="M561" s="1" t="str">
        <f t="shared" si="38"/>
        <v/>
      </c>
      <c r="N561" s="26"/>
      <c r="S561" s="27" t="str">
        <f t="shared" si="39"/>
        <v/>
      </c>
      <c r="T561" s="28" t="str">
        <f t="shared" si="40"/>
        <v/>
      </c>
      <c r="V561" t="str">
        <f t="shared" si="41"/>
        <v/>
      </c>
    </row>
    <row r="562" spans="1:22">
      <c r="A562" s="6"/>
      <c r="H562" s="25"/>
      <c r="I562" s="25"/>
      <c r="J562" s="25"/>
      <c r="K562" s="25"/>
      <c r="L562" s="1" t="str">
        <f t="shared" si="37"/>
        <v/>
      </c>
      <c r="M562" s="1" t="str">
        <f t="shared" si="38"/>
        <v/>
      </c>
      <c r="N562" s="26"/>
      <c r="S562" s="27" t="str">
        <f t="shared" si="39"/>
        <v/>
      </c>
      <c r="T562" s="28" t="str">
        <f t="shared" si="40"/>
        <v/>
      </c>
      <c r="V562" t="str">
        <f t="shared" si="41"/>
        <v/>
      </c>
    </row>
    <row r="563" spans="1:22">
      <c r="A563" s="6"/>
      <c r="H563" s="25"/>
      <c r="I563" s="25"/>
      <c r="J563" s="25"/>
      <c r="K563" s="25"/>
      <c r="L563" s="1" t="str">
        <f t="shared" si="37"/>
        <v/>
      </c>
      <c r="M563" s="1" t="str">
        <f t="shared" si="38"/>
        <v/>
      </c>
      <c r="N563" s="26"/>
      <c r="S563" s="27" t="str">
        <f t="shared" si="39"/>
        <v/>
      </c>
      <c r="T563" s="28" t="str">
        <f t="shared" si="40"/>
        <v/>
      </c>
      <c r="V563" t="str">
        <f t="shared" si="41"/>
        <v/>
      </c>
    </row>
    <row r="564" spans="1:22">
      <c r="A564" s="6"/>
      <c r="H564" s="25"/>
      <c r="I564" s="25"/>
      <c r="J564" s="25"/>
      <c r="K564" s="25"/>
      <c r="L564" s="1" t="str">
        <f t="shared" si="37"/>
        <v/>
      </c>
      <c r="M564" s="1" t="str">
        <f t="shared" si="38"/>
        <v/>
      </c>
      <c r="N564" s="26"/>
      <c r="S564" s="27" t="str">
        <f t="shared" si="39"/>
        <v/>
      </c>
      <c r="T564" s="28" t="str">
        <f t="shared" si="40"/>
        <v/>
      </c>
      <c r="V564" t="str">
        <f t="shared" si="41"/>
        <v/>
      </c>
    </row>
    <row r="565" spans="1:22">
      <c r="A565" s="6"/>
      <c r="H565" s="25"/>
      <c r="I565" s="25"/>
      <c r="J565" s="25"/>
      <c r="K565" s="25"/>
      <c r="L565" s="1" t="str">
        <f t="shared" si="37"/>
        <v/>
      </c>
      <c r="M565" s="1" t="str">
        <f t="shared" si="38"/>
        <v/>
      </c>
      <c r="N565" s="26"/>
      <c r="S565" s="27" t="str">
        <f t="shared" si="39"/>
        <v/>
      </c>
      <c r="T565" s="28" t="str">
        <f t="shared" si="40"/>
        <v/>
      </c>
      <c r="V565" t="str">
        <f t="shared" si="41"/>
        <v/>
      </c>
    </row>
    <row r="566" spans="1:22">
      <c r="A566" s="6"/>
      <c r="H566" s="25"/>
      <c r="I566" s="25"/>
      <c r="J566" s="25"/>
      <c r="K566" s="25"/>
      <c r="L566" s="1" t="str">
        <f t="shared" si="37"/>
        <v/>
      </c>
      <c r="M566" s="1" t="str">
        <f t="shared" si="38"/>
        <v/>
      </c>
      <c r="N566" s="26"/>
      <c r="S566" s="27" t="str">
        <f t="shared" si="39"/>
        <v/>
      </c>
      <c r="T566" s="28" t="str">
        <f t="shared" si="40"/>
        <v/>
      </c>
      <c r="V566" t="str">
        <f t="shared" si="41"/>
        <v/>
      </c>
    </row>
    <row r="567" spans="1:22">
      <c r="A567" s="6"/>
      <c r="H567" s="25"/>
      <c r="I567" s="25"/>
      <c r="J567" s="25"/>
      <c r="K567" s="25"/>
      <c r="L567" s="1" t="str">
        <f t="shared" si="37"/>
        <v/>
      </c>
      <c r="M567" s="1" t="str">
        <f t="shared" si="38"/>
        <v/>
      </c>
      <c r="N567" s="26"/>
      <c r="S567" s="27" t="str">
        <f t="shared" si="39"/>
        <v/>
      </c>
      <c r="T567" s="28" t="str">
        <f t="shared" si="40"/>
        <v/>
      </c>
      <c r="V567" t="str">
        <f t="shared" si="41"/>
        <v/>
      </c>
    </row>
    <row r="568" spans="1:22">
      <c r="A568" s="6"/>
      <c r="H568" s="25"/>
      <c r="I568" s="25"/>
      <c r="J568" s="25"/>
      <c r="K568" s="25"/>
      <c r="L568" s="1" t="str">
        <f t="shared" si="37"/>
        <v/>
      </c>
      <c r="M568" s="1" t="str">
        <f t="shared" si="38"/>
        <v/>
      </c>
      <c r="N568" s="26"/>
      <c r="S568" s="27" t="str">
        <f t="shared" si="39"/>
        <v/>
      </c>
      <c r="T568" s="28" t="str">
        <f t="shared" si="40"/>
        <v/>
      </c>
      <c r="V568" t="str">
        <f t="shared" si="41"/>
        <v/>
      </c>
    </row>
    <row r="569" spans="1:22">
      <c r="A569" s="6"/>
      <c r="H569" s="25"/>
      <c r="I569" s="25"/>
      <c r="J569" s="25"/>
      <c r="K569" s="25"/>
      <c r="L569" s="1" t="str">
        <f t="shared" si="37"/>
        <v/>
      </c>
      <c r="M569" s="1" t="str">
        <f t="shared" si="38"/>
        <v/>
      </c>
      <c r="N569" s="26"/>
      <c r="S569" s="27" t="str">
        <f t="shared" si="39"/>
        <v/>
      </c>
      <c r="T569" s="28" t="str">
        <f t="shared" si="40"/>
        <v/>
      </c>
      <c r="V569" t="str">
        <f t="shared" si="41"/>
        <v/>
      </c>
    </row>
    <row r="570" spans="1:22">
      <c r="A570" s="6"/>
      <c r="H570" s="25"/>
      <c r="I570" s="25"/>
      <c r="J570" s="25"/>
      <c r="K570" s="25"/>
      <c r="L570" s="1" t="str">
        <f t="shared" si="37"/>
        <v/>
      </c>
      <c r="M570" s="1" t="str">
        <f t="shared" si="38"/>
        <v/>
      </c>
      <c r="N570" s="26"/>
      <c r="S570" s="27" t="str">
        <f t="shared" si="39"/>
        <v/>
      </c>
      <c r="T570" s="28" t="str">
        <f t="shared" si="40"/>
        <v/>
      </c>
      <c r="V570" t="str">
        <f t="shared" si="41"/>
        <v/>
      </c>
    </row>
    <row r="571" spans="1:22">
      <c r="A571" s="6"/>
      <c r="H571" s="25"/>
      <c r="I571" s="25"/>
      <c r="J571" s="25"/>
      <c r="K571" s="25"/>
      <c r="L571" s="1" t="str">
        <f t="shared" si="37"/>
        <v/>
      </c>
      <c r="M571" s="1" t="str">
        <f t="shared" si="38"/>
        <v/>
      </c>
      <c r="N571" s="26"/>
      <c r="S571" s="27" t="str">
        <f t="shared" si="39"/>
        <v/>
      </c>
      <c r="T571" s="28" t="str">
        <f t="shared" si="40"/>
        <v/>
      </c>
      <c r="V571" t="str">
        <f t="shared" si="41"/>
        <v/>
      </c>
    </row>
    <row r="572" spans="1:22">
      <c r="A572" s="6"/>
      <c r="H572" s="25"/>
      <c r="I572" s="25"/>
      <c r="J572" s="25"/>
      <c r="K572" s="25"/>
      <c r="L572" s="1" t="str">
        <f t="shared" si="37"/>
        <v/>
      </c>
      <c r="M572" s="1" t="str">
        <f t="shared" si="38"/>
        <v/>
      </c>
      <c r="N572" s="26"/>
      <c r="S572" s="27" t="str">
        <f t="shared" si="39"/>
        <v/>
      </c>
      <c r="T572" s="28" t="str">
        <f t="shared" si="40"/>
        <v/>
      </c>
      <c r="V572" t="str">
        <f t="shared" si="41"/>
        <v/>
      </c>
    </row>
    <row r="573" spans="1:22">
      <c r="A573" s="6"/>
      <c r="H573" s="25"/>
      <c r="I573" s="25"/>
      <c r="J573" s="25"/>
      <c r="K573" s="25"/>
      <c r="L573" s="1" t="str">
        <f t="shared" si="37"/>
        <v/>
      </c>
      <c r="M573" s="1" t="str">
        <f t="shared" si="38"/>
        <v/>
      </c>
      <c r="N573" s="26"/>
      <c r="S573" s="27" t="str">
        <f t="shared" si="39"/>
        <v/>
      </c>
      <c r="T573" s="28" t="str">
        <f t="shared" si="40"/>
        <v/>
      </c>
      <c r="V573" t="str">
        <f t="shared" si="41"/>
        <v/>
      </c>
    </row>
    <row r="574" spans="1:22">
      <c r="A574" s="6"/>
      <c r="H574" s="25"/>
      <c r="I574" s="25"/>
      <c r="J574" s="25"/>
      <c r="K574" s="25"/>
      <c r="L574" s="1" t="str">
        <f t="shared" si="37"/>
        <v/>
      </c>
      <c r="M574" s="1" t="str">
        <f t="shared" si="38"/>
        <v/>
      </c>
      <c r="N574" s="26"/>
      <c r="S574" s="27" t="str">
        <f t="shared" si="39"/>
        <v/>
      </c>
      <c r="T574" s="28" t="str">
        <f t="shared" si="40"/>
        <v/>
      </c>
      <c r="V574" t="str">
        <f t="shared" si="41"/>
        <v/>
      </c>
    </row>
    <row r="575" spans="1:22">
      <c r="A575" s="6"/>
      <c r="H575" s="25"/>
      <c r="I575" s="25"/>
      <c r="J575" s="25"/>
      <c r="K575" s="25"/>
      <c r="L575" s="1" t="str">
        <f t="shared" si="37"/>
        <v/>
      </c>
      <c r="M575" s="1" t="str">
        <f t="shared" si="38"/>
        <v/>
      </c>
      <c r="N575" s="26"/>
      <c r="S575" s="27" t="str">
        <f t="shared" si="39"/>
        <v/>
      </c>
      <c r="T575" s="28" t="str">
        <f t="shared" si="40"/>
        <v/>
      </c>
      <c r="V575" t="str">
        <f t="shared" si="41"/>
        <v/>
      </c>
    </row>
    <row r="576" spans="1:22">
      <c r="A576" s="6"/>
      <c r="H576" s="25"/>
      <c r="I576" s="25"/>
      <c r="J576" s="25"/>
      <c r="K576" s="25"/>
      <c r="L576" s="1" t="str">
        <f t="shared" si="37"/>
        <v/>
      </c>
      <c r="M576" s="1" t="str">
        <f t="shared" si="38"/>
        <v/>
      </c>
      <c r="N576" s="26"/>
      <c r="S576" s="27" t="str">
        <f t="shared" si="39"/>
        <v/>
      </c>
      <c r="T576" s="28" t="str">
        <f t="shared" si="40"/>
        <v/>
      </c>
      <c r="V576" t="str">
        <f t="shared" si="41"/>
        <v/>
      </c>
    </row>
    <row r="577" spans="1:22">
      <c r="A577" s="6"/>
      <c r="H577" s="25"/>
      <c r="I577" s="25"/>
      <c r="J577" s="25"/>
      <c r="K577" s="25"/>
      <c r="L577" s="1" t="str">
        <f t="shared" si="37"/>
        <v/>
      </c>
      <c r="M577" s="1" t="str">
        <f t="shared" si="38"/>
        <v/>
      </c>
      <c r="N577" s="26"/>
      <c r="S577" s="27" t="str">
        <f t="shared" si="39"/>
        <v/>
      </c>
      <c r="T577" s="28" t="str">
        <f t="shared" si="40"/>
        <v/>
      </c>
      <c r="V577" t="str">
        <f t="shared" si="41"/>
        <v/>
      </c>
    </row>
    <row r="578" spans="1:22">
      <c r="A578" s="6"/>
      <c r="H578" s="25"/>
      <c r="I578" s="25"/>
      <c r="J578" s="25"/>
      <c r="K578" s="25"/>
      <c r="L578" s="1" t="str">
        <f t="shared" ref="L578:L641" si="42">IF($A578="","",IF(AND(ISNUMBER($H578),ISNUMBER($K578)),MOD($K578-$H578,1),""))</f>
        <v/>
      </c>
      <c r="M578" s="1" t="str">
        <f t="shared" ref="M578:M641" si="43">IF($A578="","",IF(AND(ISNUMBER($I578),ISNUMBER($J578)),MOD($J578-$I578,1),""))</f>
        <v/>
      </c>
      <c r="N578" s="26"/>
      <c r="S578" s="27" t="str">
        <f t="shared" si="39"/>
        <v/>
      </c>
      <c r="T578" s="28" t="str">
        <f t="shared" si="40"/>
        <v/>
      </c>
      <c r="V578" t="str">
        <f t="shared" si="41"/>
        <v/>
      </c>
    </row>
    <row r="579" spans="1:22">
      <c r="A579" s="6"/>
      <c r="H579" s="25"/>
      <c r="I579" s="25"/>
      <c r="J579" s="25"/>
      <c r="K579" s="25"/>
      <c r="L579" s="1" t="str">
        <f t="shared" si="42"/>
        <v/>
      </c>
      <c r="M579" s="1" t="str">
        <f t="shared" si="43"/>
        <v/>
      </c>
      <c r="N579" s="26"/>
      <c r="S579" s="27" t="str">
        <f t="shared" si="39"/>
        <v/>
      </c>
      <c r="T579" s="28" t="str">
        <f t="shared" si="40"/>
        <v/>
      </c>
      <c r="V579" t="str">
        <f t="shared" si="41"/>
        <v/>
      </c>
    </row>
    <row r="580" spans="1:22">
      <c r="A580" s="6"/>
      <c r="H580" s="25"/>
      <c r="I580" s="25"/>
      <c r="J580" s="25"/>
      <c r="K580" s="25"/>
      <c r="L580" s="1" t="str">
        <f t="shared" si="42"/>
        <v/>
      </c>
      <c r="M580" s="1" t="str">
        <f t="shared" si="43"/>
        <v/>
      </c>
      <c r="N580" s="26"/>
      <c r="S580" s="27" t="str">
        <f t="shared" si="39"/>
        <v/>
      </c>
      <c r="T580" s="28" t="str">
        <f t="shared" si="40"/>
        <v/>
      </c>
      <c r="V580" t="str">
        <f t="shared" si="41"/>
        <v/>
      </c>
    </row>
    <row r="581" spans="1:22">
      <c r="A581" s="6"/>
      <c r="H581" s="25"/>
      <c r="I581" s="25"/>
      <c r="J581" s="25"/>
      <c r="K581" s="25"/>
      <c r="L581" s="1" t="str">
        <f t="shared" si="42"/>
        <v/>
      </c>
      <c r="M581" s="1" t="str">
        <f t="shared" si="43"/>
        <v/>
      </c>
      <c r="N581" s="26"/>
      <c r="S581" s="27" t="str">
        <f t="shared" ref="S581:S644" si="44">IF($C581="","",IF($C581="3344",450,IF($C581="5194",320,IF($C581="6606",290,IF($C581="7430",290,IF($C581="8115",2080,IF($C581="8205",450,IF($C581="8441",260,IF($C581="OK-BIC",3060,IF($C581="OK-BID",3060,IF($C581="OK-BIK",2700,IF($C581="OK-BIL",3060,IF($C581="OK-BIN",3060,IF($C581="OK-BIR",3060,IF($C581="OK-BUG12",2150,IF($C581="OK-CUG23",2370,IF($C581="OK-DAS",5600,IF($C581="OK-DOD",4420,IF($C581="OK-DPH",5000,IF($C581="OK-DUI89",2250,IF($C581="OK-DUI94",4000,IF($C581="OK-EUI10",2250,IF($C581="OK-EUI21",4000,IF($C581="OK-IAF",3060,IF($C581="OK-MPK",3820,IF($C581="OK-NUU90",2080,IF($C581="OK-UUR14",2250,IF($C581="OK-WUS17",3500,IF($C581="OK-XAI04",1860,"")))))))))))))))))))))))))))))</f>
        <v/>
      </c>
      <c r="T581" s="28" t="str">
        <f t="shared" si="40"/>
        <v/>
      </c>
      <c r="V581" t="str">
        <f t="shared" si="41"/>
        <v/>
      </c>
    </row>
    <row r="582" spans="1:22">
      <c r="A582" s="6"/>
      <c r="H582" s="25"/>
      <c r="I582" s="25"/>
      <c r="J582" s="25"/>
      <c r="K582" s="25"/>
      <c r="L582" s="1" t="str">
        <f t="shared" si="42"/>
        <v/>
      </c>
      <c r="M582" s="1" t="str">
        <f t="shared" si="43"/>
        <v/>
      </c>
      <c r="N582" s="26"/>
      <c r="S582" s="27" t="str">
        <f t="shared" si="44"/>
        <v/>
      </c>
      <c r="T582" s="28" t="str">
        <f t="shared" si="40"/>
        <v/>
      </c>
      <c r="V582" t="str">
        <f t="shared" si="41"/>
        <v/>
      </c>
    </row>
    <row r="583" spans="1:22">
      <c r="A583" s="6"/>
      <c r="H583" s="25"/>
      <c r="I583" s="25"/>
      <c r="J583" s="25"/>
      <c r="K583" s="25"/>
      <c r="L583" s="1" t="str">
        <f t="shared" si="42"/>
        <v/>
      </c>
      <c r="M583" s="1" t="str">
        <f t="shared" si="43"/>
        <v/>
      </c>
      <c r="N583" s="26"/>
      <c r="S583" s="27" t="str">
        <f t="shared" si="44"/>
        <v/>
      </c>
      <c r="T583" s="28" t="str">
        <f t="shared" si="40"/>
        <v/>
      </c>
      <c r="V583" t="str">
        <f t="shared" si="41"/>
        <v/>
      </c>
    </row>
    <row r="584" spans="1:22">
      <c r="A584" s="6"/>
      <c r="H584" s="25"/>
      <c r="I584" s="25"/>
      <c r="J584" s="25"/>
      <c r="K584" s="25"/>
      <c r="L584" s="1" t="str">
        <f t="shared" si="42"/>
        <v/>
      </c>
      <c r="M584" s="1" t="str">
        <f t="shared" si="43"/>
        <v/>
      </c>
      <c r="N584" s="26"/>
      <c r="S584" s="27" t="str">
        <f t="shared" si="44"/>
        <v/>
      </c>
      <c r="T584" s="28" t="str">
        <f t="shared" si="40"/>
        <v/>
      </c>
      <c r="V584" t="str">
        <f t="shared" si="41"/>
        <v/>
      </c>
    </row>
    <row r="585" spans="1:22">
      <c r="A585" s="6"/>
      <c r="H585" s="25"/>
      <c r="I585" s="25"/>
      <c r="J585" s="25"/>
      <c r="K585" s="25"/>
      <c r="L585" s="1" t="str">
        <f t="shared" si="42"/>
        <v/>
      </c>
      <c r="M585" s="1" t="str">
        <f t="shared" si="43"/>
        <v/>
      </c>
      <c r="N585" s="26"/>
      <c r="S585" s="27" t="str">
        <f t="shared" si="44"/>
        <v/>
      </c>
      <c r="T585" s="28" t="str">
        <f t="shared" si="40"/>
        <v/>
      </c>
      <c r="V585" t="str">
        <f t="shared" si="41"/>
        <v/>
      </c>
    </row>
    <row r="586" spans="1:22">
      <c r="A586" s="6"/>
      <c r="H586" s="25"/>
      <c r="I586" s="25"/>
      <c r="J586" s="25"/>
      <c r="K586" s="25"/>
      <c r="L586" s="1" t="str">
        <f t="shared" si="42"/>
        <v/>
      </c>
      <c r="M586" s="1" t="str">
        <f t="shared" si="43"/>
        <v/>
      </c>
      <c r="N586" s="26"/>
      <c r="S586" s="27" t="str">
        <f t="shared" si="44"/>
        <v/>
      </c>
      <c r="T586" s="28" t="str">
        <f t="shared" si="40"/>
        <v/>
      </c>
      <c r="V586" t="str">
        <f t="shared" si="41"/>
        <v/>
      </c>
    </row>
    <row r="587" spans="1:22">
      <c r="A587" s="6"/>
      <c r="H587" s="25"/>
      <c r="I587" s="25"/>
      <c r="J587" s="25"/>
      <c r="K587" s="25"/>
      <c r="L587" s="1" t="str">
        <f t="shared" si="42"/>
        <v/>
      </c>
      <c r="M587" s="1" t="str">
        <f t="shared" si="43"/>
        <v/>
      </c>
      <c r="N587" s="26"/>
      <c r="S587" s="27" t="str">
        <f t="shared" si="44"/>
        <v/>
      </c>
      <c r="T587" s="28" t="str">
        <f t="shared" si="40"/>
        <v/>
      </c>
      <c r="V587" t="str">
        <f t="shared" si="41"/>
        <v/>
      </c>
    </row>
    <row r="588" spans="1:22">
      <c r="A588" s="6"/>
      <c r="H588" s="25"/>
      <c r="I588" s="25"/>
      <c r="J588" s="25"/>
      <c r="K588" s="25"/>
      <c r="L588" s="1" t="str">
        <f t="shared" si="42"/>
        <v/>
      </c>
      <c r="M588" s="1" t="str">
        <f t="shared" si="43"/>
        <v/>
      </c>
      <c r="N588" s="26"/>
      <c r="S588" s="27" t="str">
        <f t="shared" si="44"/>
        <v/>
      </c>
      <c r="T588" s="28" t="str">
        <f t="shared" si="40"/>
        <v/>
      </c>
      <c r="V588" t="str">
        <f t="shared" si="41"/>
        <v/>
      </c>
    </row>
    <row r="589" spans="1:22">
      <c r="A589" s="6"/>
      <c r="H589" s="25"/>
      <c r="I589" s="25"/>
      <c r="J589" s="25"/>
      <c r="K589" s="25"/>
      <c r="L589" s="1" t="str">
        <f t="shared" si="42"/>
        <v/>
      </c>
      <c r="M589" s="1" t="str">
        <f t="shared" si="43"/>
        <v/>
      </c>
      <c r="N589" s="26"/>
      <c r="S589" s="27" t="str">
        <f t="shared" si="44"/>
        <v/>
      </c>
      <c r="T589" s="28" t="str">
        <f t="shared" si="40"/>
        <v/>
      </c>
      <c r="V589" t="str">
        <f t="shared" si="41"/>
        <v/>
      </c>
    </row>
    <row r="590" spans="1:22">
      <c r="A590" s="6"/>
      <c r="H590" s="25"/>
      <c r="I590" s="25"/>
      <c r="J590" s="25"/>
      <c r="K590" s="25"/>
      <c r="L590" s="1" t="str">
        <f t="shared" si="42"/>
        <v/>
      </c>
      <c r="M590" s="1" t="str">
        <f t="shared" si="43"/>
        <v/>
      </c>
      <c r="N590" s="26"/>
      <c r="S590" s="27" t="str">
        <f t="shared" si="44"/>
        <v/>
      </c>
      <c r="T590" s="28" t="str">
        <f t="shared" si="40"/>
        <v/>
      </c>
      <c r="V590" t="str">
        <f t="shared" si="41"/>
        <v/>
      </c>
    </row>
    <row r="591" spans="1:22">
      <c r="A591" s="6"/>
      <c r="H591" s="25"/>
      <c r="I591" s="25"/>
      <c r="J591" s="25"/>
      <c r="K591" s="25"/>
      <c r="L591" s="1" t="str">
        <f t="shared" si="42"/>
        <v/>
      </c>
      <c r="M591" s="1" t="str">
        <f t="shared" si="43"/>
        <v/>
      </c>
      <c r="N591" s="26"/>
      <c r="S591" s="27" t="str">
        <f t="shared" si="44"/>
        <v/>
      </c>
      <c r="T591" s="28" t="str">
        <f t="shared" si="40"/>
        <v/>
      </c>
      <c r="V591" t="str">
        <f t="shared" si="41"/>
        <v/>
      </c>
    </row>
    <row r="592" spans="1:22">
      <c r="A592" s="6"/>
      <c r="H592" s="25"/>
      <c r="I592" s="25"/>
      <c r="J592" s="25"/>
      <c r="K592" s="25"/>
      <c r="L592" s="1" t="str">
        <f t="shared" si="42"/>
        <v/>
      </c>
      <c r="M592" s="1" t="str">
        <f t="shared" si="43"/>
        <v/>
      </c>
      <c r="N592" s="26"/>
      <c r="S592" s="27" t="str">
        <f t="shared" si="44"/>
        <v/>
      </c>
      <c r="T592" s="28" t="str">
        <f t="shared" si="40"/>
        <v/>
      </c>
      <c r="V592" t="str">
        <f t="shared" si="41"/>
        <v/>
      </c>
    </row>
    <row r="593" spans="1:22">
      <c r="A593" s="6"/>
      <c r="H593" s="25"/>
      <c r="I593" s="25"/>
      <c r="J593" s="25"/>
      <c r="K593" s="25"/>
      <c r="L593" s="1" t="str">
        <f t="shared" si="42"/>
        <v/>
      </c>
      <c r="M593" s="1" t="str">
        <f t="shared" si="43"/>
        <v/>
      </c>
      <c r="N593" s="26"/>
      <c r="S593" s="27" t="str">
        <f t="shared" si="44"/>
        <v/>
      </c>
      <c r="T593" s="28" t="str">
        <f t="shared" si="40"/>
        <v/>
      </c>
      <c r="V593" t="str">
        <f t="shared" si="41"/>
        <v/>
      </c>
    </row>
    <row r="594" spans="1:22">
      <c r="A594" s="6"/>
      <c r="H594" s="25"/>
      <c r="I594" s="25"/>
      <c r="J594" s="25"/>
      <c r="K594" s="25"/>
      <c r="L594" s="1" t="str">
        <f t="shared" si="42"/>
        <v/>
      </c>
      <c r="M594" s="1" t="str">
        <f t="shared" si="43"/>
        <v/>
      </c>
      <c r="N594" s="26"/>
      <c r="S594" s="27" t="str">
        <f t="shared" si="44"/>
        <v/>
      </c>
      <c r="T594" s="28" t="str">
        <f t="shared" si="40"/>
        <v/>
      </c>
      <c r="V594" t="str">
        <f t="shared" si="41"/>
        <v/>
      </c>
    </row>
    <row r="595" spans="1:22">
      <c r="A595" s="6"/>
      <c r="H595" s="25"/>
      <c r="I595" s="25"/>
      <c r="J595" s="25"/>
      <c r="K595" s="25"/>
      <c r="L595" s="1" t="str">
        <f t="shared" si="42"/>
        <v/>
      </c>
      <c r="M595" s="1" t="str">
        <f t="shared" si="43"/>
        <v/>
      </c>
      <c r="N595" s="26"/>
      <c r="S595" s="27" t="str">
        <f t="shared" si="44"/>
        <v/>
      </c>
      <c r="T595" s="28" t="str">
        <f t="shared" si="40"/>
        <v/>
      </c>
      <c r="V595" t="str">
        <f t="shared" si="41"/>
        <v/>
      </c>
    </row>
    <row r="596" spans="1:22">
      <c r="A596" s="6"/>
      <c r="H596" s="25"/>
      <c r="I596" s="25"/>
      <c r="J596" s="25"/>
      <c r="K596" s="25"/>
      <c r="L596" s="1" t="str">
        <f t="shared" si="42"/>
        <v/>
      </c>
      <c r="M596" s="1" t="str">
        <f t="shared" si="43"/>
        <v/>
      </c>
      <c r="N596" s="26"/>
      <c r="S596" s="27" t="str">
        <f t="shared" si="44"/>
        <v/>
      </c>
      <c r="T596" s="28" t="str">
        <f t="shared" ref="T596:T659" si="45">IF($A596="","",IF(OR($S596="", $S596&lt;=0, $L596=""),"",ROUND($L596*24*$S596,2)))</f>
        <v/>
      </c>
      <c r="V596" t="str">
        <f t="shared" ref="V596:V659" si="46">IF($A596="","",IF(OR(YEAR($A596)&lt;2020,YEAR($A596)&gt;2030),"Podezřelé datum",IF(OR($F596="",$G596=""),"Chybí letiště",IF(OR($H596="",$I596="",$J596="",$K596=""),"Chybí čas",IF(OR($H596&gt;$I596,$I596&gt;$J596,$J596&gt;$K596),"Časy mimo pořadí",IF($M596&gt;$L596,"Air &gt; Block",IF(OR($S596="", $S596&lt;=0),"Chybí sazba","OK")))))))</f>
        <v/>
      </c>
    </row>
    <row r="597" spans="1:22">
      <c r="A597" s="6"/>
      <c r="H597" s="25"/>
      <c r="I597" s="25"/>
      <c r="J597" s="25"/>
      <c r="K597" s="25"/>
      <c r="L597" s="1" t="str">
        <f t="shared" si="42"/>
        <v/>
      </c>
      <c r="M597" s="1" t="str">
        <f t="shared" si="43"/>
        <v/>
      </c>
      <c r="N597" s="26"/>
      <c r="S597" s="27" t="str">
        <f t="shared" si="44"/>
        <v/>
      </c>
      <c r="T597" s="28" t="str">
        <f t="shared" si="45"/>
        <v/>
      </c>
      <c r="V597" t="str">
        <f t="shared" si="46"/>
        <v/>
      </c>
    </row>
    <row r="598" spans="1:22">
      <c r="A598" s="6"/>
      <c r="H598" s="25"/>
      <c r="I598" s="25"/>
      <c r="J598" s="25"/>
      <c r="K598" s="25"/>
      <c r="L598" s="1" t="str">
        <f t="shared" si="42"/>
        <v/>
      </c>
      <c r="M598" s="1" t="str">
        <f t="shared" si="43"/>
        <v/>
      </c>
      <c r="N598" s="26"/>
      <c r="S598" s="27" t="str">
        <f t="shared" si="44"/>
        <v/>
      </c>
      <c r="T598" s="28" t="str">
        <f t="shared" si="45"/>
        <v/>
      </c>
      <c r="V598" t="str">
        <f t="shared" si="46"/>
        <v/>
      </c>
    </row>
    <row r="599" spans="1:22">
      <c r="A599" s="6"/>
      <c r="H599" s="25"/>
      <c r="I599" s="25"/>
      <c r="J599" s="25"/>
      <c r="K599" s="25"/>
      <c r="L599" s="1" t="str">
        <f t="shared" si="42"/>
        <v/>
      </c>
      <c r="M599" s="1" t="str">
        <f t="shared" si="43"/>
        <v/>
      </c>
      <c r="N599" s="26"/>
      <c r="S599" s="27" t="str">
        <f t="shared" si="44"/>
        <v/>
      </c>
      <c r="T599" s="28" t="str">
        <f t="shared" si="45"/>
        <v/>
      </c>
      <c r="V599" t="str">
        <f t="shared" si="46"/>
        <v/>
      </c>
    </row>
    <row r="600" spans="1:22">
      <c r="A600" s="6"/>
      <c r="H600" s="25"/>
      <c r="I600" s="25"/>
      <c r="J600" s="25"/>
      <c r="K600" s="25"/>
      <c r="L600" s="1" t="str">
        <f t="shared" si="42"/>
        <v/>
      </c>
      <c r="M600" s="1" t="str">
        <f t="shared" si="43"/>
        <v/>
      </c>
      <c r="N600" s="26"/>
      <c r="S600" s="27" t="str">
        <f t="shared" si="44"/>
        <v/>
      </c>
      <c r="T600" s="28" t="str">
        <f t="shared" si="45"/>
        <v/>
      </c>
      <c r="V600" t="str">
        <f t="shared" si="46"/>
        <v/>
      </c>
    </row>
    <row r="601" spans="1:22">
      <c r="A601" s="6"/>
      <c r="H601" s="25"/>
      <c r="I601" s="25"/>
      <c r="J601" s="25"/>
      <c r="K601" s="25"/>
      <c r="L601" s="1" t="str">
        <f t="shared" si="42"/>
        <v/>
      </c>
      <c r="M601" s="1" t="str">
        <f t="shared" si="43"/>
        <v/>
      </c>
      <c r="N601" s="26"/>
      <c r="S601" s="27" t="str">
        <f t="shared" si="44"/>
        <v/>
      </c>
      <c r="T601" s="28" t="str">
        <f t="shared" si="45"/>
        <v/>
      </c>
      <c r="V601" t="str">
        <f t="shared" si="46"/>
        <v/>
      </c>
    </row>
    <row r="602" spans="1:22">
      <c r="A602" s="6"/>
      <c r="H602" s="25"/>
      <c r="I602" s="25"/>
      <c r="J602" s="25"/>
      <c r="K602" s="25"/>
      <c r="L602" s="1" t="str">
        <f t="shared" si="42"/>
        <v/>
      </c>
      <c r="M602" s="1" t="str">
        <f t="shared" si="43"/>
        <v/>
      </c>
      <c r="N602" s="26"/>
      <c r="S602" s="27" t="str">
        <f t="shared" si="44"/>
        <v/>
      </c>
      <c r="T602" s="28" t="str">
        <f t="shared" si="45"/>
        <v/>
      </c>
      <c r="V602" t="str">
        <f t="shared" si="46"/>
        <v/>
      </c>
    </row>
    <row r="603" spans="1:22">
      <c r="A603" s="6"/>
      <c r="H603" s="25"/>
      <c r="I603" s="25"/>
      <c r="J603" s="25"/>
      <c r="K603" s="25"/>
      <c r="L603" s="1" t="str">
        <f t="shared" si="42"/>
        <v/>
      </c>
      <c r="M603" s="1" t="str">
        <f t="shared" si="43"/>
        <v/>
      </c>
      <c r="N603" s="26"/>
      <c r="S603" s="27" t="str">
        <f t="shared" si="44"/>
        <v/>
      </c>
      <c r="T603" s="28" t="str">
        <f t="shared" si="45"/>
        <v/>
      </c>
      <c r="V603" t="str">
        <f t="shared" si="46"/>
        <v/>
      </c>
    </row>
    <row r="604" spans="1:22">
      <c r="A604" s="6"/>
      <c r="H604" s="25"/>
      <c r="I604" s="25"/>
      <c r="J604" s="25"/>
      <c r="K604" s="25"/>
      <c r="L604" s="1" t="str">
        <f t="shared" si="42"/>
        <v/>
      </c>
      <c r="M604" s="1" t="str">
        <f t="shared" si="43"/>
        <v/>
      </c>
      <c r="N604" s="26"/>
      <c r="S604" s="27" t="str">
        <f t="shared" si="44"/>
        <v/>
      </c>
      <c r="T604" s="28" t="str">
        <f t="shared" si="45"/>
        <v/>
      </c>
      <c r="V604" t="str">
        <f t="shared" si="46"/>
        <v/>
      </c>
    </row>
    <row r="605" spans="1:22">
      <c r="A605" s="6"/>
      <c r="H605" s="25"/>
      <c r="I605" s="25"/>
      <c r="J605" s="25"/>
      <c r="K605" s="25"/>
      <c r="L605" s="1" t="str">
        <f t="shared" si="42"/>
        <v/>
      </c>
      <c r="M605" s="1" t="str">
        <f t="shared" si="43"/>
        <v/>
      </c>
      <c r="N605" s="26"/>
      <c r="S605" s="27" t="str">
        <f t="shared" si="44"/>
        <v/>
      </c>
      <c r="T605" s="28" t="str">
        <f t="shared" si="45"/>
        <v/>
      </c>
      <c r="V605" t="str">
        <f t="shared" si="46"/>
        <v/>
      </c>
    </row>
    <row r="606" spans="1:22">
      <c r="A606" s="6"/>
      <c r="H606" s="25"/>
      <c r="I606" s="25"/>
      <c r="J606" s="25"/>
      <c r="K606" s="25"/>
      <c r="L606" s="1" t="str">
        <f t="shared" si="42"/>
        <v/>
      </c>
      <c r="M606" s="1" t="str">
        <f t="shared" si="43"/>
        <v/>
      </c>
      <c r="N606" s="26"/>
      <c r="S606" s="27" t="str">
        <f t="shared" si="44"/>
        <v/>
      </c>
      <c r="T606" s="28" t="str">
        <f t="shared" si="45"/>
        <v/>
      </c>
      <c r="V606" t="str">
        <f t="shared" si="46"/>
        <v/>
      </c>
    </row>
    <row r="607" spans="1:22">
      <c r="A607" s="6"/>
      <c r="H607" s="25"/>
      <c r="I607" s="25"/>
      <c r="J607" s="25"/>
      <c r="K607" s="25"/>
      <c r="L607" s="1" t="str">
        <f t="shared" si="42"/>
        <v/>
      </c>
      <c r="M607" s="1" t="str">
        <f t="shared" si="43"/>
        <v/>
      </c>
      <c r="N607" s="26"/>
      <c r="S607" s="27" t="str">
        <f t="shared" si="44"/>
        <v/>
      </c>
      <c r="T607" s="28" t="str">
        <f t="shared" si="45"/>
        <v/>
      </c>
      <c r="V607" t="str">
        <f t="shared" si="46"/>
        <v/>
      </c>
    </row>
    <row r="608" spans="1:22">
      <c r="A608" s="6"/>
      <c r="H608" s="25"/>
      <c r="I608" s="25"/>
      <c r="J608" s="25"/>
      <c r="K608" s="25"/>
      <c r="L608" s="1" t="str">
        <f t="shared" si="42"/>
        <v/>
      </c>
      <c r="M608" s="1" t="str">
        <f t="shared" si="43"/>
        <v/>
      </c>
      <c r="N608" s="26"/>
      <c r="S608" s="27" t="str">
        <f t="shared" si="44"/>
        <v/>
      </c>
      <c r="T608" s="28" t="str">
        <f t="shared" si="45"/>
        <v/>
      </c>
      <c r="V608" t="str">
        <f t="shared" si="46"/>
        <v/>
      </c>
    </row>
    <row r="609" spans="1:22">
      <c r="A609" s="6"/>
      <c r="H609" s="25"/>
      <c r="I609" s="25"/>
      <c r="J609" s="25"/>
      <c r="K609" s="25"/>
      <c r="L609" s="1" t="str">
        <f t="shared" si="42"/>
        <v/>
      </c>
      <c r="M609" s="1" t="str">
        <f t="shared" si="43"/>
        <v/>
      </c>
      <c r="N609" s="26"/>
      <c r="S609" s="27" t="str">
        <f t="shared" si="44"/>
        <v/>
      </c>
      <c r="T609" s="28" t="str">
        <f t="shared" si="45"/>
        <v/>
      </c>
      <c r="V609" t="str">
        <f t="shared" si="46"/>
        <v/>
      </c>
    </row>
    <row r="610" spans="1:22">
      <c r="A610" s="6"/>
      <c r="H610" s="25"/>
      <c r="I610" s="25"/>
      <c r="J610" s="25"/>
      <c r="K610" s="25"/>
      <c r="L610" s="1" t="str">
        <f t="shared" si="42"/>
        <v/>
      </c>
      <c r="M610" s="1" t="str">
        <f t="shared" si="43"/>
        <v/>
      </c>
      <c r="N610" s="26"/>
      <c r="S610" s="27" t="str">
        <f t="shared" si="44"/>
        <v/>
      </c>
      <c r="T610" s="28" t="str">
        <f t="shared" si="45"/>
        <v/>
      </c>
      <c r="V610" t="str">
        <f t="shared" si="46"/>
        <v/>
      </c>
    </row>
    <row r="611" spans="1:22">
      <c r="A611" s="6"/>
      <c r="H611" s="25"/>
      <c r="I611" s="25"/>
      <c r="J611" s="25"/>
      <c r="K611" s="25"/>
      <c r="L611" s="1" t="str">
        <f t="shared" si="42"/>
        <v/>
      </c>
      <c r="M611" s="1" t="str">
        <f t="shared" si="43"/>
        <v/>
      </c>
      <c r="N611" s="26"/>
      <c r="S611" s="27" t="str">
        <f t="shared" si="44"/>
        <v/>
      </c>
      <c r="T611" s="28" t="str">
        <f t="shared" si="45"/>
        <v/>
      </c>
      <c r="V611" t="str">
        <f t="shared" si="46"/>
        <v/>
      </c>
    </row>
    <row r="612" spans="1:22">
      <c r="A612" s="6"/>
      <c r="H612" s="25"/>
      <c r="I612" s="25"/>
      <c r="J612" s="25"/>
      <c r="K612" s="25"/>
      <c r="L612" s="1" t="str">
        <f t="shared" si="42"/>
        <v/>
      </c>
      <c r="M612" s="1" t="str">
        <f t="shared" si="43"/>
        <v/>
      </c>
      <c r="N612" s="26"/>
      <c r="S612" s="27" t="str">
        <f t="shared" si="44"/>
        <v/>
      </c>
      <c r="T612" s="28" t="str">
        <f t="shared" si="45"/>
        <v/>
      </c>
      <c r="V612" t="str">
        <f t="shared" si="46"/>
        <v/>
      </c>
    </row>
    <row r="613" spans="1:22">
      <c r="A613" s="6"/>
      <c r="H613" s="25"/>
      <c r="I613" s="25"/>
      <c r="J613" s="25"/>
      <c r="K613" s="25"/>
      <c r="L613" s="1" t="str">
        <f t="shared" si="42"/>
        <v/>
      </c>
      <c r="M613" s="1" t="str">
        <f t="shared" si="43"/>
        <v/>
      </c>
      <c r="N613" s="26"/>
      <c r="S613" s="27" t="str">
        <f t="shared" si="44"/>
        <v/>
      </c>
      <c r="T613" s="28" t="str">
        <f t="shared" si="45"/>
        <v/>
      </c>
      <c r="V613" t="str">
        <f t="shared" si="46"/>
        <v/>
      </c>
    </row>
    <row r="614" spans="1:22">
      <c r="A614" s="6"/>
      <c r="H614" s="25"/>
      <c r="I614" s="25"/>
      <c r="J614" s="25"/>
      <c r="K614" s="25"/>
      <c r="L614" s="1" t="str">
        <f t="shared" si="42"/>
        <v/>
      </c>
      <c r="M614" s="1" t="str">
        <f t="shared" si="43"/>
        <v/>
      </c>
      <c r="N614" s="26"/>
      <c r="S614" s="27" t="str">
        <f t="shared" si="44"/>
        <v/>
      </c>
      <c r="T614" s="28" t="str">
        <f t="shared" si="45"/>
        <v/>
      </c>
      <c r="V614" t="str">
        <f t="shared" si="46"/>
        <v/>
      </c>
    </row>
    <row r="615" spans="1:22">
      <c r="A615" s="6"/>
      <c r="H615" s="25"/>
      <c r="I615" s="25"/>
      <c r="J615" s="25"/>
      <c r="K615" s="25"/>
      <c r="L615" s="1" t="str">
        <f t="shared" si="42"/>
        <v/>
      </c>
      <c r="M615" s="1" t="str">
        <f t="shared" si="43"/>
        <v/>
      </c>
      <c r="N615" s="26"/>
      <c r="S615" s="27" t="str">
        <f t="shared" si="44"/>
        <v/>
      </c>
      <c r="T615" s="28" t="str">
        <f t="shared" si="45"/>
        <v/>
      </c>
      <c r="V615" t="str">
        <f t="shared" si="46"/>
        <v/>
      </c>
    </row>
    <row r="616" spans="1:22">
      <c r="A616" s="6"/>
      <c r="H616" s="25"/>
      <c r="I616" s="25"/>
      <c r="J616" s="25"/>
      <c r="K616" s="25"/>
      <c r="L616" s="1" t="str">
        <f t="shared" si="42"/>
        <v/>
      </c>
      <c r="M616" s="1" t="str">
        <f t="shared" si="43"/>
        <v/>
      </c>
      <c r="N616" s="26"/>
      <c r="S616" s="27" t="str">
        <f t="shared" si="44"/>
        <v/>
      </c>
      <c r="T616" s="28" t="str">
        <f t="shared" si="45"/>
        <v/>
      </c>
      <c r="V616" t="str">
        <f t="shared" si="46"/>
        <v/>
      </c>
    </row>
    <row r="617" spans="1:22">
      <c r="A617" s="6"/>
      <c r="H617" s="25"/>
      <c r="I617" s="25"/>
      <c r="J617" s="25"/>
      <c r="K617" s="25"/>
      <c r="L617" s="1" t="str">
        <f t="shared" si="42"/>
        <v/>
      </c>
      <c r="M617" s="1" t="str">
        <f t="shared" si="43"/>
        <v/>
      </c>
      <c r="N617" s="26"/>
      <c r="S617" s="27" t="str">
        <f t="shared" si="44"/>
        <v/>
      </c>
      <c r="T617" s="28" t="str">
        <f t="shared" si="45"/>
        <v/>
      </c>
      <c r="V617" t="str">
        <f t="shared" si="46"/>
        <v/>
      </c>
    </row>
    <row r="618" spans="1:22">
      <c r="A618" s="6"/>
      <c r="H618" s="25"/>
      <c r="I618" s="25"/>
      <c r="J618" s="25"/>
      <c r="K618" s="25"/>
      <c r="L618" s="1" t="str">
        <f t="shared" si="42"/>
        <v/>
      </c>
      <c r="M618" s="1" t="str">
        <f t="shared" si="43"/>
        <v/>
      </c>
      <c r="N618" s="26"/>
      <c r="S618" s="27" t="str">
        <f t="shared" si="44"/>
        <v/>
      </c>
      <c r="T618" s="28" t="str">
        <f t="shared" si="45"/>
        <v/>
      </c>
      <c r="V618" t="str">
        <f t="shared" si="46"/>
        <v/>
      </c>
    </row>
    <row r="619" spans="1:22">
      <c r="A619" s="6"/>
      <c r="H619" s="25"/>
      <c r="I619" s="25"/>
      <c r="J619" s="25"/>
      <c r="K619" s="25"/>
      <c r="L619" s="1" t="str">
        <f t="shared" si="42"/>
        <v/>
      </c>
      <c r="M619" s="1" t="str">
        <f t="shared" si="43"/>
        <v/>
      </c>
      <c r="N619" s="26"/>
      <c r="S619" s="27" t="str">
        <f t="shared" si="44"/>
        <v/>
      </c>
      <c r="T619" s="28" t="str">
        <f t="shared" si="45"/>
        <v/>
      </c>
      <c r="V619" t="str">
        <f t="shared" si="46"/>
        <v/>
      </c>
    </row>
    <row r="620" spans="1:22">
      <c r="A620" s="6"/>
      <c r="H620" s="25"/>
      <c r="I620" s="25"/>
      <c r="J620" s="25"/>
      <c r="K620" s="25"/>
      <c r="L620" s="1" t="str">
        <f t="shared" si="42"/>
        <v/>
      </c>
      <c r="M620" s="1" t="str">
        <f t="shared" si="43"/>
        <v/>
      </c>
      <c r="N620" s="26"/>
      <c r="S620" s="27" t="str">
        <f t="shared" si="44"/>
        <v/>
      </c>
      <c r="T620" s="28" t="str">
        <f t="shared" si="45"/>
        <v/>
      </c>
      <c r="V620" t="str">
        <f t="shared" si="46"/>
        <v/>
      </c>
    </row>
    <row r="621" spans="1:22">
      <c r="A621" s="6"/>
      <c r="H621" s="25"/>
      <c r="I621" s="25"/>
      <c r="J621" s="25"/>
      <c r="K621" s="25"/>
      <c r="L621" s="1" t="str">
        <f t="shared" si="42"/>
        <v/>
      </c>
      <c r="M621" s="1" t="str">
        <f t="shared" si="43"/>
        <v/>
      </c>
      <c r="N621" s="26"/>
      <c r="S621" s="27" t="str">
        <f t="shared" si="44"/>
        <v/>
      </c>
      <c r="T621" s="28" t="str">
        <f t="shared" si="45"/>
        <v/>
      </c>
      <c r="V621" t="str">
        <f t="shared" si="46"/>
        <v/>
      </c>
    </row>
    <row r="622" spans="1:22">
      <c r="A622" s="6"/>
      <c r="H622" s="25"/>
      <c r="I622" s="25"/>
      <c r="J622" s="25"/>
      <c r="K622" s="25"/>
      <c r="L622" s="1" t="str">
        <f t="shared" si="42"/>
        <v/>
      </c>
      <c r="M622" s="1" t="str">
        <f t="shared" si="43"/>
        <v/>
      </c>
      <c r="N622" s="26"/>
      <c r="S622" s="27" t="str">
        <f t="shared" si="44"/>
        <v/>
      </c>
      <c r="T622" s="28" t="str">
        <f t="shared" si="45"/>
        <v/>
      </c>
      <c r="V622" t="str">
        <f t="shared" si="46"/>
        <v/>
      </c>
    </row>
    <row r="623" spans="1:22">
      <c r="A623" s="6"/>
      <c r="H623" s="25"/>
      <c r="I623" s="25"/>
      <c r="J623" s="25"/>
      <c r="K623" s="25"/>
      <c r="L623" s="1" t="str">
        <f t="shared" si="42"/>
        <v/>
      </c>
      <c r="M623" s="1" t="str">
        <f t="shared" si="43"/>
        <v/>
      </c>
      <c r="N623" s="26"/>
      <c r="S623" s="27" t="str">
        <f t="shared" si="44"/>
        <v/>
      </c>
      <c r="T623" s="28" t="str">
        <f t="shared" si="45"/>
        <v/>
      </c>
      <c r="V623" t="str">
        <f t="shared" si="46"/>
        <v/>
      </c>
    </row>
    <row r="624" spans="1:22">
      <c r="A624" s="6"/>
      <c r="H624" s="25"/>
      <c r="I624" s="25"/>
      <c r="J624" s="25"/>
      <c r="K624" s="25"/>
      <c r="L624" s="1" t="str">
        <f t="shared" si="42"/>
        <v/>
      </c>
      <c r="M624" s="1" t="str">
        <f t="shared" si="43"/>
        <v/>
      </c>
      <c r="N624" s="26"/>
      <c r="S624" s="27" t="str">
        <f t="shared" si="44"/>
        <v/>
      </c>
      <c r="T624" s="28" t="str">
        <f t="shared" si="45"/>
        <v/>
      </c>
      <c r="V624" t="str">
        <f t="shared" si="46"/>
        <v/>
      </c>
    </row>
    <row r="625" spans="1:22">
      <c r="A625" s="6"/>
      <c r="H625" s="25"/>
      <c r="I625" s="25"/>
      <c r="J625" s="25"/>
      <c r="K625" s="25"/>
      <c r="L625" s="1" t="str">
        <f t="shared" si="42"/>
        <v/>
      </c>
      <c r="M625" s="1" t="str">
        <f t="shared" si="43"/>
        <v/>
      </c>
      <c r="N625" s="26"/>
      <c r="S625" s="27" t="str">
        <f t="shared" si="44"/>
        <v/>
      </c>
      <c r="T625" s="28" t="str">
        <f t="shared" si="45"/>
        <v/>
      </c>
      <c r="V625" t="str">
        <f t="shared" si="46"/>
        <v/>
      </c>
    </row>
    <row r="626" spans="1:22">
      <c r="A626" s="6"/>
      <c r="H626" s="25"/>
      <c r="I626" s="25"/>
      <c r="J626" s="25"/>
      <c r="K626" s="25"/>
      <c r="L626" s="1" t="str">
        <f t="shared" si="42"/>
        <v/>
      </c>
      <c r="M626" s="1" t="str">
        <f t="shared" si="43"/>
        <v/>
      </c>
      <c r="N626" s="26"/>
      <c r="S626" s="27" t="str">
        <f t="shared" si="44"/>
        <v/>
      </c>
      <c r="T626" s="28" t="str">
        <f t="shared" si="45"/>
        <v/>
      </c>
      <c r="V626" t="str">
        <f t="shared" si="46"/>
        <v/>
      </c>
    </row>
    <row r="627" spans="1:22">
      <c r="A627" s="6"/>
      <c r="H627" s="25"/>
      <c r="I627" s="25"/>
      <c r="J627" s="25"/>
      <c r="K627" s="25"/>
      <c r="L627" s="1" t="str">
        <f t="shared" si="42"/>
        <v/>
      </c>
      <c r="M627" s="1" t="str">
        <f t="shared" si="43"/>
        <v/>
      </c>
      <c r="N627" s="26"/>
      <c r="S627" s="27" t="str">
        <f t="shared" si="44"/>
        <v/>
      </c>
      <c r="T627" s="28" t="str">
        <f t="shared" si="45"/>
        <v/>
      </c>
      <c r="V627" t="str">
        <f t="shared" si="46"/>
        <v/>
      </c>
    </row>
    <row r="628" spans="1:22">
      <c r="A628" s="6"/>
      <c r="H628" s="25"/>
      <c r="I628" s="25"/>
      <c r="J628" s="25"/>
      <c r="K628" s="25"/>
      <c r="L628" s="1" t="str">
        <f t="shared" si="42"/>
        <v/>
      </c>
      <c r="M628" s="1" t="str">
        <f t="shared" si="43"/>
        <v/>
      </c>
      <c r="N628" s="26"/>
      <c r="S628" s="27" t="str">
        <f t="shared" si="44"/>
        <v/>
      </c>
      <c r="T628" s="28" t="str">
        <f t="shared" si="45"/>
        <v/>
      </c>
      <c r="V628" t="str">
        <f t="shared" si="46"/>
        <v/>
      </c>
    </row>
    <row r="629" spans="1:22">
      <c r="A629" s="6"/>
      <c r="H629" s="25"/>
      <c r="I629" s="25"/>
      <c r="J629" s="25"/>
      <c r="K629" s="25"/>
      <c r="L629" s="1" t="str">
        <f t="shared" si="42"/>
        <v/>
      </c>
      <c r="M629" s="1" t="str">
        <f t="shared" si="43"/>
        <v/>
      </c>
      <c r="N629" s="26"/>
      <c r="S629" s="27" t="str">
        <f t="shared" si="44"/>
        <v/>
      </c>
      <c r="T629" s="28" t="str">
        <f t="shared" si="45"/>
        <v/>
      </c>
      <c r="V629" t="str">
        <f t="shared" si="46"/>
        <v/>
      </c>
    </row>
    <row r="630" spans="1:22">
      <c r="A630" s="6"/>
      <c r="H630" s="25"/>
      <c r="I630" s="25"/>
      <c r="J630" s="25"/>
      <c r="K630" s="25"/>
      <c r="L630" s="1" t="str">
        <f t="shared" si="42"/>
        <v/>
      </c>
      <c r="M630" s="1" t="str">
        <f t="shared" si="43"/>
        <v/>
      </c>
      <c r="N630" s="26"/>
      <c r="S630" s="27" t="str">
        <f t="shared" si="44"/>
        <v/>
      </c>
      <c r="T630" s="28" t="str">
        <f t="shared" si="45"/>
        <v/>
      </c>
      <c r="V630" t="str">
        <f t="shared" si="46"/>
        <v/>
      </c>
    </row>
    <row r="631" spans="1:22">
      <c r="A631" s="6"/>
      <c r="H631" s="25"/>
      <c r="I631" s="25"/>
      <c r="J631" s="25"/>
      <c r="K631" s="25"/>
      <c r="L631" s="1" t="str">
        <f t="shared" si="42"/>
        <v/>
      </c>
      <c r="M631" s="1" t="str">
        <f t="shared" si="43"/>
        <v/>
      </c>
      <c r="N631" s="26"/>
      <c r="S631" s="27" t="str">
        <f t="shared" si="44"/>
        <v/>
      </c>
      <c r="T631" s="28" t="str">
        <f t="shared" si="45"/>
        <v/>
      </c>
      <c r="V631" t="str">
        <f t="shared" si="46"/>
        <v/>
      </c>
    </row>
    <row r="632" spans="1:22">
      <c r="A632" s="6"/>
      <c r="H632" s="25"/>
      <c r="I632" s="25"/>
      <c r="J632" s="25"/>
      <c r="K632" s="25"/>
      <c r="L632" s="1" t="str">
        <f t="shared" si="42"/>
        <v/>
      </c>
      <c r="M632" s="1" t="str">
        <f t="shared" si="43"/>
        <v/>
      </c>
      <c r="N632" s="26"/>
      <c r="S632" s="27" t="str">
        <f t="shared" si="44"/>
        <v/>
      </c>
      <c r="T632" s="28" t="str">
        <f t="shared" si="45"/>
        <v/>
      </c>
      <c r="V632" t="str">
        <f t="shared" si="46"/>
        <v/>
      </c>
    </row>
    <row r="633" spans="1:22">
      <c r="A633" s="6"/>
      <c r="H633" s="25"/>
      <c r="I633" s="25"/>
      <c r="J633" s="25"/>
      <c r="K633" s="25"/>
      <c r="L633" s="1" t="str">
        <f t="shared" si="42"/>
        <v/>
      </c>
      <c r="M633" s="1" t="str">
        <f t="shared" si="43"/>
        <v/>
      </c>
      <c r="N633" s="26"/>
      <c r="S633" s="27" t="str">
        <f t="shared" si="44"/>
        <v/>
      </c>
      <c r="T633" s="28" t="str">
        <f t="shared" si="45"/>
        <v/>
      </c>
      <c r="V633" t="str">
        <f t="shared" si="46"/>
        <v/>
      </c>
    </row>
    <row r="634" spans="1:22">
      <c r="A634" s="6"/>
      <c r="H634" s="25"/>
      <c r="I634" s="25"/>
      <c r="J634" s="25"/>
      <c r="K634" s="25"/>
      <c r="L634" s="1" t="str">
        <f t="shared" si="42"/>
        <v/>
      </c>
      <c r="M634" s="1" t="str">
        <f t="shared" si="43"/>
        <v/>
      </c>
      <c r="N634" s="26"/>
      <c r="S634" s="27" t="str">
        <f t="shared" si="44"/>
        <v/>
      </c>
      <c r="T634" s="28" t="str">
        <f t="shared" si="45"/>
        <v/>
      </c>
      <c r="V634" t="str">
        <f t="shared" si="46"/>
        <v/>
      </c>
    </row>
    <row r="635" spans="1:22">
      <c r="A635" s="6"/>
      <c r="H635" s="25"/>
      <c r="I635" s="25"/>
      <c r="J635" s="25"/>
      <c r="K635" s="25"/>
      <c r="L635" s="1" t="str">
        <f t="shared" si="42"/>
        <v/>
      </c>
      <c r="M635" s="1" t="str">
        <f t="shared" si="43"/>
        <v/>
      </c>
      <c r="N635" s="26"/>
      <c r="S635" s="27" t="str">
        <f t="shared" si="44"/>
        <v/>
      </c>
      <c r="T635" s="28" t="str">
        <f t="shared" si="45"/>
        <v/>
      </c>
      <c r="V635" t="str">
        <f t="shared" si="46"/>
        <v/>
      </c>
    </row>
    <row r="636" spans="1:22">
      <c r="A636" s="6"/>
      <c r="H636" s="25"/>
      <c r="I636" s="25"/>
      <c r="J636" s="25"/>
      <c r="K636" s="25"/>
      <c r="L636" s="1" t="str">
        <f t="shared" si="42"/>
        <v/>
      </c>
      <c r="M636" s="1" t="str">
        <f t="shared" si="43"/>
        <v/>
      </c>
      <c r="N636" s="26"/>
      <c r="S636" s="27" t="str">
        <f t="shared" si="44"/>
        <v/>
      </c>
      <c r="T636" s="28" t="str">
        <f t="shared" si="45"/>
        <v/>
      </c>
      <c r="V636" t="str">
        <f t="shared" si="46"/>
        <v/>
      </c>
    </row>
    <row r="637" spans="1:22">
      <c r="A637" s="6"/>
      <c r="H637" s="25"/>
      <c r="I637" s="25"/>
      <c r="J637" s="25"/>
      <c r="K637" s="25"/>
      <c r="L637" s="1" t="str">
        <f t="shared" si="42"/>
        <v/>
      </c>
      <c r="M637" s="1" t="str">
        <f t="shared" si="43"/>
        <v/>
      </c>
      <c r="N637" s="26"/>
      <c r="S637" s="27" t="str">
        <f t="shared" si="44"/>
        <v/>
      </c>
      <c r="T637" s="28" t="str">
        <f t="shared" si="45"/>
        <v/>
      </c>
      <c r="V637" t="str">
        <f t="shared" si="46"/>
        <v/>
      </c>
    </row>
    <row r="638" spans="1:22">
      <c r="A638" s="6"/>
      <c r="H638" s="25"/>
      <c r="I638" s="25"/>
      <c r="J638" s="25"/>
      <c r="K638" s="25"/>
      <c r="L638" s="1" t="str">
        <f t="shared" si="42"/>
        <v/>
      </c>
      <c r="M638" s="1" t="str">
        <f t="shared" si="43"/>
        <v/>
      </c>
      <c r="N638" s="26"/>
      <c r="S638" s="27" t="str">
        <f t="shared" si="44"/>
        <v/>
      </c>
      <c r="T638" s="28" t="str">
        <f t="shared" si="45"/>
        <v/>
      </c>
      <c r="V638" t="str">
        <f t="shared" si="46"/>
        <v/>
      </c>
    </row>
    <row r="639" spans="1:22">
      <c r="A639" s="6"/>
      <c r="H639" s="25"/>
      <c r="I639" s="25"/>
      <c r="J639" s="25"/>
      <c r="K639" s="25"/>
      <c r="L639" s="1" t="str">
        <f t="shared" si="42"/>
        <v/>
      </c>
      <c r="M639" s="1" t="str">
        <f t="shared" si="43"/>
        <v/>
      </c>
      <c r="N639" s="26"/>
      <c r="S639" s="27" t="str">
        <f t="shared" si="44"/>
        <v/>
      </c>
      <c r="T639" s="28" t="str">
        <f t="shared" si="45"/>
        <v/>
      </c>
      <c r="V639" t="str">
        <f t="shared" si="46"/>
        <v/>
      </c>
    </row>
    <row r="640" spans="1:22">
      <c r="A640" s="6"/>
      <c r="H640" s="25"/>
      <c r="I640" s="25"/>
      <c r="J640" s="25"/>
      <c r="K640" s="25"/>
      <c r="L640" s="1" t="str">
        <f t="shared" si="42"/>
        <v/>
      </c>
      <c r="M640" s="1" t="str">
        <f t="shared" si="43"/>
        <v/>
      </c>
      <c r="N640" s="26"/>
      <c r="S640" s="27" t="str">
        <f t="shared" si="44"/>
        <v/>
      </c>
      <c r="T640" s="28" t="str">
        <f t="shared" si="45"/>
        <v/>
      </c>
      <c r="V640" t="str">
        <f t="shared" si="46"/>
        <v/>
      </c>
    </row>
    <row r="641" spans="1:22">
      <c r="A641" s="6"/>
      <c r="H641" s="25"/>
      <c r="I641" s="25"/>
      <c r="J641" s="25"/>
      <c r="K641" s="25"/>
      <c r="L641" s="1" t="str">
        <f t="shared" si="42"/>
        <v/>
      </c>
      <c r="M641" s="1" t="str">
        <f t="shared" si="43"/>
        <v/>
      </c>
      <c r="N641" s="26"/>
      <c r="S641" s="27" t="str">
        <f t="shared" si="44"/>
        <v/>
      </c>
      <c r="T641" s="28" t="str">
        <f t="shared" si="45"/>
        <v/>
      </c>
      <c r="V641" t="str">
        <f t="shared" si="46"/>
        <v/>
      </c>
    </row>
    <row r="642" spans="1:22">
      <c r="A642" s="6"/>
      <c r="H642" s="25"/>
      <c r="I642" s="25"/>
      <c r="J642" s="25"/>
      <c r="K642" s="25"/>
      <c r="L642" s="1" t="str">
        <f t="shared" ref="L642:L705" si="47">IF($A642="","",IF(AND(ISNUMBER($H642),ISNUMBER($K642)),MOD($K642-$H642,1),""))</f>
        <v/>
      </c>
      <c r="M642" s="1" t="str">
        <f t="shared" ref="M642:M705" si="48">IF($A642="","",IF(AND(ISNUMBER($I642),ISNUMBER($J642)),MOD($J642-$I642,1),""))</f>
        <v/>
      </c>
      <c r="N642" s="26"/>
      <c r="S642" s="27" t="str">
        <f t="shared" si="44"/>
        <v/>
      </c>
      <c r="T642" s="28" t="str">
        <f t="shared" si="45"/>
        <v/>
      </c>
      <c r="V642" t="str">
        <f t="shared" si="46"/>
        <v/>
      </c>
    </row>
    <row r="643" spans="1:22">
      <c r="A643" s="6"/>
      <c r="H643" s="25"/>
      <c r="I643" s="25"/>
      <c r="J643" s="25"/>
      <c r="K643" s="25"/>
      <c r="L643" s="1" t="str">
        <f t="shared" si="47"/>
        <v/>
      </c>
      <c r="M643" s="1" t="str">
        <f t="shared" si="48"/>
        <v/>
      </c>
      <c r="N643" s="26"/>
      <c r="S643" s="27" t="str">
        <f t="shared" si="44"/>
        <v/>
      </c>
      <c r="T643" s="28" t="str">
        <f t="shared" si="45"/>
        <v/>
      </c>
      <c r="V643" t="str">
        <f t="shared" si="46"/>
        <v/>
      </c>
    </row>
    <row r="644" spans="1:22">
      <c r="A644" s="6"/>
      <c r="H644" s="25"/>
      <c r="I644" s="25"/>
      <c r="J644" s="25"/>
      <c r="K644" s="25"/>
      <c r="L644" s="1" t="str">
        <f t="shared" si="47"/>
        <v/>
      </c>
      <c r="M644" s="1" t="str">
        <f t="shared" si="48"/>
        <v/>
      </c>
      <c r="N644" s="26"/>
      <c r="S644" s="27" t="str">
        <f t="shared" si="44"/>
        <v/>
      </c>
      <c r="T644" s="28" t="str">
        <f t="shared" si="45"/>
        <v/>
      </c>
      <c r="V644" t="str">
        <f t="shared" si="46"/>
        <v/>
      </c>
    </row>
    <row r="645" spans="1:22">
      <c r="A645" s="6"/>
      <c r="H645" s="25"/>
      <c r="I645" s="25"/>
      <c r="J645" s="25"/>
      <c r="K645" s="25"/>
      <c r="L645" s="1" t="str">
        <f t="shared" si="47"/>
        <v/>
      </c>
      <c r="M645" s="1" t="str">
        <f t="shared" si="48"/>
        <v/>
      </c>
      <c r="N645" s="26"/>
      <c r="S645" s="27" t="str">
        <f t="shared" ref="S645:S708" si="49">IF($C645="","",IF($C645="3344",450,IF($C645="5194",320,IF($C645="6606",290,IF($C645="7430",290,IF($C645="8115",2080,IF($C645="8205",450,IF($C645="8441",260,IF($C645="OK-BIC",3060,IF($C645="OK-BID",3060,IF($C645="OK-BIK",2700,IF($C645="OK-BIL",3060,IF($C645="OK-BIN",3060,IF($C645="OK-BIR",3060,IF($C645="OK-BUG12",2150,IF($C645="OK-CUG23",2370,IF($C645="OK-DAS",5600,IF($C645="OK-DOD",4420,IF($C645="OK-DPH",5000,IF($C645="OK-DUI89",2250,IF($C645="OK-DUI94",4000,IF($C645="OK-EUI10",2250,IF($C645="OK-EUI21",4000,IF($C645="OK-IAF",3060,IF($C645="OK-MPK",3820,IF($C645="OK-NUU90",2080,IF($C645="OK-UUR14",2250,IF($C645="OK-WUS17",3500,IF($C645="OK-XAI04",1860,"")))))))))))))))))))))))))))))</f>
        <v/>
      </c>
      <c r="T645" s="28" t="str">
        <f t="shared" si="45"/>
        <v/>
      </c>
      <c r="V645" t="str">
        <f t="shared" si="46"/>
        <v/>
      </c>
    </row>
    <row r="646" spans="1:22">
      <c r="A646" s="6"/>
      <c r="H646" s="25"/>
      <c r="I646" s="25"/>
      <c r="J646" s="25"/>
      <c r="K646" s="25"/>
      <c r="L646" s="1" t="str">
        <f t="shared" si="47"/>
        <v/>
      </c>
      <c r="M646" s="1" t="str">
        <f t="shared" si="48"/>
        <v/>
      </c>
      <c r="N646" s="26"/>
      <c r="S646" s="27" t="str">
        <f t="shared" si="49"/>
        <v/>
      </c>
      <c r="T646" s="28" t="str">
        <f t="shared" si="45"/>
        <v/>
      </c>
      <c r="V646" t="str">
        <f t="shared" si="46"/>
        <v/>
      </c>
    </row>
    <row r="647" spans="1:22">
      <c r="A647" s="6"/>
      <c r="H647" s="25"/>
      <c r="I647" s="25"/>
      <c r="J647" s="25"/>
      <c r="K647" s="25"/>
      <c r="L647" s="1" t="str">
        <f t="shared" si="47"/>
        <v/>
      </c>
      <c r="M647" s="1" t="str">
        <f t="shared" si="48"/>
        <v/>
      </c>
      <c r="N647" s="26"/>
      <c r="S647" s="27" t="str">
        <f t="shared" si="49"/>
        <v/>
      </c>
      <c r="T647" s="28" t="str">
        <f t="shared" si="45"/>
        <v/>
      </c>
      <c r="V647" t="str">
        <f t="shared" si="46"/>
        <v/>
      </c>
    </row>
    <row r="648" spans="1:22">
      <c r="A648" s="6"/>
      <c r="H648" s="25"/>
      <c r="I648" s="25"/>
      <c r="J648" s="25"/>
      <c r="K648" s="25"/>
      <c r="L648" s="1" t="str">
        <f t="shared" si="47"/>
        <v/>
      </c>
      <c r="M648" s="1" t="str">
        <f t="shared" si="48"/>
        <v/>
      </c>
      <c r="N648" s="26"/>
      <c r="S648" s="27" t="str">
        <f t="shared" si="49"/>
        <v/>
      </c>
      <c r="T648" s="28" t="str">
        <f t="shared" si="45"/>
        <v/>
      </c>
      <c r="V648" t="str">
        <f t="shared" si="46"/>
        <v/>
      </c>
    </row>
    <row r="649" spans="1:22">
      <c r="A649" s="6"/>
      <c r="H649" s="25"/>
      <c r="I649" s="25"/>
      <c r="J649" s="25"/>
      <c r="K649" s="25"/>
      <c r="L649" s="1" t="str">
        <f t="shared" si="47"/>
        <v/>
      </c>
      <c r="M649" s="1" t="str">
        <f t="shared" si="48"/>
        <v/>
      </c>
      <c r="N649" s="26"/>
      <c r="S649" s="27" t="str">
        <f t="shared" si="49"/>
        <v/>
      </c>
      <c r="T649" s="28" t="str">
        <f t="shared" si="45"/>
        <v/>
      </c>
      <c r="V649" t="str">
        <f t="shared" si="46"/>
        <v/>
      </c>
    </row>
    <row r="650" spans="1:22">
      <c r="A650" s="6"/>
      <c r="H650" s="25"/>
      <c r="I650" s="25"/>
      <c r="J650" s="25"/>
      <c r="K650" s="25"/>
      <c r="L650" s="1" t="str">
        <f t="shared" si="47"/>
        <v/>
      </c>
      <c r="M650" s="1" t="str">
        <f t="shared" si="48"/>
        <v/>
      </c>
      <c r="N650" s="26"/>
      <c r="S650" s="27" t="str">
        <f t="shared" si="49"/>
        <v/>
      </c>
      <c r="T650" s="28" t="str">
        <f t="shared" si="45"/>
        <v/>
      </c>
      <c r="V650" t="str">
        <f t="shared" si="46"/>
        <v/>
      </c>
    </row>
    <row r="651" spans="1:22">
      <c r="A651" s="6"/>
      <c r="H651" s="25"/>
      <c r="I651" s="25"/>
      <c r="J651" s="25"/>
      <c r="K651" s="25"/>
      <c r="L651" s="1" t="str">
        <f t="shared" si="47"/>
        <v/>
      </c>
      <c r="M651" s="1" t="str">
        <f t="shared" si="48"/>
        <v/>
      </c>
      <c r="N651" s="26"/>
      <c r="S651" s="27" t="str">
        <f t="shared" si="49"/>
        <v/>
      </c>
      <c r="T651" s="28" t="str">
        <f t="shared" si="45"/>
        <v/>
      </c>
      <c r="V651" t="str">
        <f t="shared" si="46"/>
        <v/>
      </c>
    </row>
    <row r="652" spans="1:22">
      <c r="A652" s="6"/>
      <c r="H652" s="25"/>
      <c r="I652" s="25"/>
      <c r="J652" s="25"/>
      <c r="K652" s="25"/>
      <c r="L652" s="1" t="str">
        <f t="shared" si="47"/>
        <v/>
      </c>
      <c r="M652" s="1" t="str">
        <f t="shared" si="48"/>
        <v/>
      </c>
      <c r="N652" s="26"/>
      <c r="S652" s="27" t="str">
        <f t="shared" si="49"/>
        <v/>
      </c>
      <c r="T652" s="28" t="str">
        <f t="shared" si="45"/>
        <v/>
      </c>
      <c r="V652" t="str">
        <f t="shared" si="46"/>
        <v/>
      </c>
    </row>
    <row r="653" spans="1:22">
      <c r="A653" s="6"/>
      <c r="H653" s="25"/>
      <c r="I653" s="25"/>
      <c r="J653" s="25"/>
      <c r="K653" s="25"/>
      <c r="L653" s="1" t="str">
        <f t="shared" si="47"/>
        <v/>
      </c>
      <c r="M653" s="1" t="str">
        <f t="shared" si="48"/>
        <v/>
      </c>
      <c r="N653" s="26"/>
      <c r="S653" s="27" t="str">
        <f t="shared" si="49"/>
        <v/>
      </c>
      <c r="T653" s="28" t="str">
        <f t="shared" si="45"/>
        <v/>
      </c>
      <c r="V653" t="str">
        <f t="shared" si="46"/>
        <v/>
      </c>
    </row>
    <row r="654" spans="1:22">
      <c r="A654" s="6"/>
      <c r="H654" s="25"/>
      <c r="I654" s="25"/>
      <c r="J654" s="25"/>
      <c r="K654" s="25"/>
      <c r="L654" s="1" t="str">
        <f t="shared" si="47"/>
        <v/>
      </c>
      <c r="M654" s="1" t="str">
        <f t="shared" si="48"/>
        <v/>
      </c>
      <c r="N654" s="26"/>
      <c r="S654" s="27" t="str">
        <f t="shared" si="49"/>
        <v/>
      </c>
      <c r="T654" s="28" t="str">
        <f t="shared" si="45"/>
        <v/>
      </c>
      <c r="V654" t="str">
        <f t="shared" si="46"/>
        <v/>
      </c>
    </row>
    <row r="655" spans="1:22">
      <c r="A655" s="6"/>
      <c r="H655" s="25"/>
      <c r="I655" s="25"/>
      <c r="J655" s="25"/>
      <c r="K655" s="25"/>
      <c r="L655" s="1" t="str">
        <f t="shared" si="47"/>
        <v/>
      </c>
      <c r="M655" s="1" t="str">
        <f t="shared" si="48"/>
        <v/>
      </c>
      <c r="N655" s="26"/>
      <c r="S655" s="27" t="str">
        <f t="shared" si="49"/>
        <v/>
      </c>
      <c r="T655" s="28" t="str">
        <f t="shared" si="45"/>
        <v/>
      </c>
      <c r="V655" t="str">
        <f t="shared" si="46"/>
        <v/>
      </c>
    </row>
    <row r="656" spans="1:22">
      <c r="A656" s="6"/>
      <c r="H656" s="25"/>
      <c r="I656" s="25"/>
      <c r="J656" s="25"/>
      <c r="K656" s="25"/>
      <c r="L656" s="1" t="str">
        <f t="shared" si="47"/>
        <v/>
      </c>
      <c r="M656" s="1" t="str">
        <f t="shared" si="48"/>
        <v/>
      </c>
      <c r="N656" s="26"/>
      <c r="S656" s="27" t="str">
        <f t="shared" si="49"/>
        <v/>
      </c>
      <c r="T656" s="28" t="str">
        <f t="shared" si="45"/>
        <v/>
      </c>
      <c r="V656" t="str">
        <f t="shared" si="46"/>
        <v/>
      </c>
    </row>
    <row r="657" spans="1:22">
      <c r="A657" s="6"/>
      <c r="H657" s="25"/>
      <c r="I657" s="25"/>
      <c r="J657" s="25"/>
      <c r="K657" s="25"/>
      <c r="L657" s="1" t="str">
        <f t="shared" si="47"/>
        <v/>
      </c>
      <c r="M657" s="1" t="str">
        <f t="shared" si="48"/>
        <v/>
      </c>
      <c r="N657" s="26"/>
      <c r="S657" s="27" t="str">
        <f t="shared" si="49"/>
        <v/>
      </c>
      <c r="T657" s="28" t="str">
        <f t="shared" si="45"/>
        <v/>
      </c>
      <c r="V657" t="str">
        <f t="shared" si="46"/>
        <v/>
      </c>
    </row>
    <row r="658" spans="1:22">
      <c r="A658" s="6"/>
      <c r="H658" s="25"/>
      <c r="I658" s="25"/>
      <c r="J658" s="25"/>
      <c r="K658" s="25"/>
      <c r="L658" s="1" t="str">
        <f t="shared" si="47"/>
        <v/>
      </c>
      <c r="M658" s="1" t="str">
        <f t="shared" si="48"/>
        <v/>
      </c>
      <c r="N658" s="26"/>
      <c r="S658" s="27" t="str">
        <f t="shared" si="49"/>
        <v/>
      </c>
      <c r="T658" s="28" t="str">
        <f t="shared" si="45"/>
        <v/>
      </c>
      <c r="V658" t="str">
        <f t="shared" si="46"/>
        <v/>
      </c>
    </row>
    <row r="659" spans="1:22">
      <c r="A659" s="6"/>
      <c r="H659" s="25"/>
      <c r="I659" s="25"/>
      <c r="J659" s="25"/>
      <c r="K659" s="25"/>
      <c r="L659" s="1" t="str">
        <f t="shared" si="47"/>
        <v/>
      </c>
      <c r="M659" s="1" t="str">
        <f t="shared" si="48"/>
        <v/>
      </c>
      <c r="N659" s="26"/>
      <c r="S659" s="27" t="str">
        <f t="shared" si="49"/>
        <v/>
      </c>
      <c r="T659" s="28" t="str">
        <f t="shared" si="45"/>
        <v/>
      </c>
      <c r="V659" t="str">
        <f t="shared" si="46"/>
        <v/>
      </c>
    </row>
    <row r="660" spans="1:22">
      <c r="A660" s="6"/>
      <c r="H660" s="25"/>
      <c r="I660" s="25"/>
      <c r="J660" s="25"/>
      <c r="K660" s="25"/>
      <c r="L660" s="1" t="str">
        <f t="shared" si="47"/>
        <v/>
      </c>
      <c r="M660" s="1" t="str">
        <f t="shared" si="48"/>
        <v/>
      </c>
      <c r="N660" s="26"/>
      <c r="S660" s="27" t="str">
        <f t="shared" si="49"/>
        <v/>
      </c>
      <c r="T660" s="28" t="str">
        <f t="shared" ref="T660:T723" si="50">IF($A660="","",IF(OR($S660="", $S660&lt;=0, $L660=""),"",ROUND($L660*24*$S660,2)))</f>
        <v/>
      </c>
      <c r="V660" t="str">
        <f t="shared" ref="V660:V723" si="51">IF($A660="","",IF(OR(YEAR($A660)&lt;2020,YEAR($A660)&gt;2030),"Podezřelé datum",IF(OR($F660="",$G660=""),"Chybí letiště",IF(OR($H660="",$I660="",$J660="",$K660=""),"Chybí čas",IF(OR($H660&gt;$I660,$I660&gt;$J660,$J660&gt;$K660),"Časy mimo pořadí",IF($M660&gt;$L660,"Air &gt; Block",IF(OR($S660="", $S660&lt;=0),"Chybí sazba","OK")))))))</f>
        <v/>
      </c>
    </row>
    <row r="661" spans="1:22">
      <c r="A661" s="6"/>
      <c r="H661" s="25"/>
      <c r="I661" s="25"/>
      <c r="J661" s="25"/>
      <c r="K661" s="25"/>
      <c r="L661" s="1" t="str">
        <f t="shared" si="47"/>
        <v/>
      </c>
      <c r="M661" s="1" t="str">
        <f t="shared" si="48"/>
        <v/>
      </c>
      <c r="N661" s="26"/>
      <c r="S661" s="27" t="str">
        <f t="shared" si="49"/>
        <v/>
      </c>
      <c r="T661" s="28" t="str">
        <f t="shared" si="50"/>
        <v/>
      </c>
      <c r="V661" t="str">
        <f t="shared" si="51"/>
        <v/>
      </c>
    </row>
    <row r="662" spans="1:22">
      <c r="A662" s="6"/>
      <c r="H662" s="25"/>
      <c r="I662" s="25"/>
      <c r="J662" s="25"/>
      <c r="K662" s="25"/>
      <c r="L662" s="1" t="str">
        <f t="shared" si="47"/>
        <v/>
      </c>
      <c r="M662" s="1" t="str">
        <f t="shared" si="48"/>
        <v/>
      </c>
      <c r="N662" s="26"/>
      <c r="S662" s="27" t="str">
        <f t="shared" si="49"/>
        <v/>
      </c>
      <c r="T662" s="28" t="str">
        <f t="shared" si="50"/>
        <v/>
      </c>
      <c r="V662" t="str">
        <f t="shared" si="51"/>
        <v/>
      </c>
    </row>
    <row r="663" spans="1:22">
      <c r="A663" s="6"/>
      <c r="H663" s="25"/>
      <c r="I663" s="25"/>
      <c r="J663" s="25"/>
      <c r="K663" s="25"/>
      <c r="L663" s="1" t="str">
        <f t="shared" si="47"/>
        <v/>
      </c>
      <c r="M663" s="1" t="str">
        <f t="shared" si="48"/>
        <v/>
      </c>
      <c r="N663" s="26"/>
      <c r="S663" s="27" t="str">
        <f t="shared" si="49"/>
        <v/>
      </c>
      <c r="T663" s="28" t="str">
        <f t="shared" si="50"/>
        <v/>
      </c>
      <c r="V663" t="str">
        <f t="shared" si="51"/>
        <v/>
      </c>
    </row>
    <row r="664" spans="1:22">
      <c r="A664" s="6"/>
      <c r="H664" s="25"/>
      <c r="I664" s="25"/>
      <c r="J664" s="25"/>
      <c r="K664" s="25"/>
      <c r="L664" s="1" t="str">
        <f t="shared" si="47"/>
        <v/>
      </c>
      <c r="M664" s="1" t="str">
        <f t="shared" si="48"/>
        <v/>
      </c>
      <c r="N664" s="26"/>
      <c r="S664" s="27" t="str">
        <f t="shared" si="49"/>
        <v/>
      </c>
      <c r="T664" s="28" t="str">
        <f t="shared" si="50"/>
        <v/>
      </c>
      <c r="V664" t="str">
        <f t="shared" si="51"/>
        <v/>
      </c>
    </row>
    <row r="665" spans="1:22">
      <c r="A665" s="6"/>
      <c r="H665" s="25"/>
      <c r="I665" s="25"/>
      <c r="J665" s="25"/>
      <c r="K665" s="25"/>
      <c r="L665" s="1" t="str">
        <f t="shared" si="47"/>
        <v/>
      </c>
      <c r="M665" s="1" t="str">
        <f t="shared" si="48"/>
        <v/>
      </c>
      <c r="N665" s="26"/>
      <c r="S665" s="27" t="str">
        <f t="shared" si="49"/>
        <v/>
      </c>
      <c r="T665" s="28" t="str">
        <f t="shared" si="50"/>
        <v/>
      </c>
      <c r="V665" t="str">
        <f t="shared" si="51"/>
        <v/>
      </c>
    </row>
    <row r="666" spans="1:22">
      <c r="A666" s="6"/>
      <c r="H666" s="25"/>
      <c r="I666" s="25"/>
      <c r="J666" s="25"/>
      <c r="K666" s="25"/>
      <c r="L666" s="1" t="str">
        <f t="shared" si="47"/>
        <v/>
      </c>
      <c r="M666" s="1" t="str">
        <f t="shared" si="48"/>
        <v/>
      </c>
      <c r="N666" s="26"/>
      <c r="S666" s="27" t="str">
        <f t="shared" si="49"/>
        <v/>
      </c>
      <c r="T666" s="28" t="str">
        <f t="shared" si="50"/>
        <v/>
      </c>
      <c r="V666" t="str">
        <f t="shared" si="51"/>
        <v/>
      </c>
    </row>
    <row r="667" spans="1:22">
      <c r="A667" s="6"/>
      <c r="H667" s="25"/>
      <c r="I667" s="25"/>
      <c r="J667" s="25"/>
      <c r="K667" s="25"/>
      <c r="L667" s="1" t="str">
        <f t="shared" si="47"/>
        <v/>
      </c>
      <c r="M667" s="1" t="str">
        <f t="shared" si="48"/>
        <v/>
      </c>
      <c r="N667" s="26"/>
      <c r="S667" s="27" t="str">
        <f t="shared" si="49"/>
        <v/>
      </c>
      <c r="T667" s="28" t="str">
        <f t="shared" si="50"/>
        <v/>
      </c>
      <c r="V667" t="str">
        <f t="shared" si="51"/>
        <v/>
      </c>
    </row>
    <row r="668" spans="1:22">
      <c r="A668" s="6"/>
      <c r="H668" s="25"/>
      <c r="I668" s="25"/>
      <c r="J668" s="25"/>
      <c r="K668" s="25"/>
      <c r="L668" s="1" t="str">
        <f t="shared" si="47"/>
        <v/>
      </c>
      <c r="M668" s="1" t="str">
        <f t="shared" si="48"/>
        <v/>
      </c>
      <c r="N668" s="26"/>
      <c r="S668" s="27" t="str">
        <f t="shared" si="49"/>
        <v/>
      </c>
      <c r="T668" s="28" t="str">
        <f t="shared" si="50"/>
        <v/>
      </c>
      <c r="V668" t="str">
        <f t="shared" si="51"/>
        <v/>
      </c>
    </row>
    <row r="669" spans="1:22">
      <c r="A669" s="6"/>
      <c r="H669" s="25"/>
      <c r="I669" s="25"/>
      <c r="J669" s="25"/>
      <c r="K669" s="25"/>
      <c r="L669" s="1" t="str">
        <f t="shared" si="47"/>
        <v/>
      </c>
      <c r="M669" s="1" t="str">
        <f t="shared" si="48"/>
        <v/>
      </c>
      <c r="N669" s="26"/>
      <c r="S669" s="27" t="str">
        <f t="shared" si="49"/>
        <v/>
      </c>
      <c r="T669" s="28" t="str">
        <f t="shared" si="50"/>
        <v/>
      </c>
      <c r="V669" t="str">
        <f t="shared" si="51"/>
        <v/>
      </c>
    </row>
    <row r="670" spans="1:22">
      <c r="A670" s="6"/>
      <c r="H670" s="25"/>
      <c r="I670" s="25"/>
      <c r="J670" s="25"/>
      <c r="K670" s="25"/>
      <c r="L670" s="1" t="str">
        <f t="shared" si="47"/>
        <v/>
      </c>
      <c r="M670" s="1" t="str">
        <f t="shared" si="48"/>
        <v/>
      </c>
      <c r="N670" s="26"/>
      <c r="S670" s="27" t="str">
        <f t="shared" si="49"/>
        <v/>
      </c>
      <c r="T670" s="28" t="str">
        <f t="shared" si="50"/>
        <v/>
      </c>
      <c r="V670" t="str">
        <f t="shared" si="51"/>
        <v/>
      </c>
    </row>
    <row r="671" spans="1:22">
      <c r="A671" s="6"/>
      <c r="H671" s="25"/>
      <c r="I671" s="25"/>
      <c r="J671" s="25"/>
      <c r="K671" s="25"/>
      <c r="L671" s="1" t="str">
        <f t="shared" si="47"/>
        <v/>
      </c>
      <c r="M671" s="1" t="str">
        <f t="shared" si="48"/>
        <v/>
      </c>
      <c r="N671" s="26"/>
      <c r="S671" s="27" t="str">
        <f t="shared" si="49"/>
        <v/>
      </c>
      <c r="T671" s="28" t="str">
        <f t="shared" si="50"/>
        <v/>
      </c>
      <c r="V671" t="str">
        <f t="shared" si="51"/>
        <v/>
      </c>
    </row>
    <row r="672" spans="1:22">
      <c r="A672" s="6"/>
      <c r="H672" s="25"/>
      <c r="I672" s="25"/>
      <c r="J672" s="25"/>
      <c r="K672" s="25"/>
      <c r="L672" s="1" t="str">
        <f t="shared" si="47"/>
        <v/>
      </c>
      <c r="M672" s="1" t="str">
        <f t="shared" si="48"/>
        <v/>
      </c>
      <c r="N672" s="26"/>
      <c r="S672" s="27" t="str">
        <f t="shared" si="49"/>
        <v/>
      </c>
      <c r="T672" s="28" t="str">
        <f t="shared" si="50"/>
        <v/>
      </c>
      <c r="V672" t="str">
        <f t="shared" si="51"/>
        <v/>
      </c>
    </row>
    <row r="673" spans="1:22">
      <c r="A673" s="6"/>
      <c r="H673" s="25"/>
      <c r="I673" s="25"/>
      <c r="J673" s="25"/>
      <c r="K673" s="25"/>
      <c r="L673" s="1" t="str">
        <f t="shared" si="47"/>
        <v/>
      </c>
      <c r="M673" s="1" t="str">
        <f t="shared" si="48"/>
        <v/>
      </c>
      <c r="N673" s="26"/>
      <c r="S673" s="27" t="str">
        <f t="shared" si="49"/>
        <v/>
      </c>
      <c r="T673" s="28" t="str">
        <f t="shared" si="50"/>
        <v/>
      </c>
      <c r="V673" t="str">
        <f t="shared" si="51"/>
        <v/>
      </c>
    </row>
    <row r="674" spans="1:22">
      <c r="A674" s="6"/>
      <c r="H674" s="25"/>
      <c r="I674" s="25"/>
      <c r="J674" s="25"/>
      <c r="K674" s="25"/>
      <c r="L674" s="1" t="str">
        <f t="shared" si="47"/>
        <v/>
      </c>
      <c r="M674" s="1" t="str">
        <f t="shared" si="48"/>
        <v/>
      </c>
      <c r="N674" s="26"/>
      <c r="S674" s="27" t="str">
        <f t="shared" si="49"/>
        <v/>
      </c>
      <c r="T674" s="28" t="str">
        <f t="shared" si="50"/>
        <v/>
      </c>
      <c r="V674" t="str">
        <f t="shared" si="51"/>
        <v/>
      </c>
    </row>
    <row r="675" spans="1:22">
      <c r="A675" s="6"/>
      <c r="H675" s="25"/>
      <c r="I675" s="25"/>
      <c r="J675" s="25"/>
      <c r="K675" s="25"/>
      <c r="L675" s="1" t="str">
        <f t="shared" si="47"/>
        <v/>
      </c>
      <c r="M675" s="1" t="str">
        <f t="shared" si="48"/>
        <v/>
      </c>
      <c r="N675" s="26"/>
      <c r="S675" s="27" t="str">
        <f t="shared" si="49"/>
        <v/>
      </c>
      <c r="T675" s="28" t="str">
        <f t="shared" si="50"/>
        <v/>
      </c>
      <c r="V675" t="str">
        <f t="shared" si="51"/>
        <v/>
      </c>
    </row>
    <row r="676" spans="1:22">
      <c r="A676" s="6"/>
      <c r="H676" s="25"/>
      <c r="I676" s="25"/>
      <c r="J676" s="25"/>
      <c r="K676" s="25"/>
      <c r="L676" s="1" t="str">
        <f t="shared" si="47"/>
        <v/>
      </c>
      <c r="M676" s="1" t="str">
        <f t="shared" si="48"/>
        <v/>
      </c>
      <c r="N676" s="26"/>
      <c r="S676" s="27" t="str">
        <f t="shared" si="49"/>
        <v/>
      </c>
      <c r="T676" s="28" t="str">
        <f t="shared" si="50"/>
        <v/>
      </c>
      <c r="V676" t="str">
        <f t="shared" si="51"/>
        <v/>
      </c>
    </row>
    <row r="677" spans="1:22">
      <c r="A677" s="6"/>
      <c r="H677" s="25"/>
      <c r="I677" s="25"/>
      <c r="J677" s="25"/>
      <c r="K677" s="25"/>
      <c r="L677" s="1" t="str">
        <f t="shared" si="47"/>
        <v/>
      </c>
      <c r="M677" s="1" t="str">
        <f t="shared" si="48"/>
        <v/>
      </c>
      <c r="N677" s="26"/>
      <c r="S677" s="27" t="str">
        <f t="shared" si="49"/>
        <v/>
      </c>
      <c r="T677" s="28" t="str">
        <f t="shared" si="50"/>
        <v/>
      </c>
      <c r="V677" t="str">
        <f t="shared" si="51"/>
        <v/>
      </c>
    </row>
    <row r="678" spans="1:22">
      <c r="A678" s="6"/>
      <c r="H678" s="25"/>
      <c r="I678" s="25"/>
      <c r="J678" s="25"/>
      <c r="K678" s="25"/>
      <c r="L678" s="1" t="str">
        <f t="shared" si="47"/>
        <v/>
      </c>
      <c r="M678" s="1" t="str">
        <f t="shared" si="48"/>
        <v/>
      </c>
      <c r="N678" s="26"/>
      <c r="S678" s="27" t="str">
        <f t="shared" si="49"/>
        <v/>
      </c>
      <c r="T678" s="28" t="str">
        <f t="shared" si="50"/>
        <v/>
      </c>
      <c r="V678" t="str">
        <f t="shared" si="51"/>
        <v/>
      </c>
    </row>
    <row r="679" spans="1:22">
      <c r="A679" s="6"/>
      <c r="H679" s="25"/>
      <c r="I679" s="25"/>
      <c r="J679" s="25"/>
      <c r="K679" s="25"/>
      <c r="L679" s="1" t="str">
        <f t="shared" si="47"/>
        <v/>
      </c>
      <c r="M679" s="1" t="str">
        <f t="shared" si="48"/>
        <v/>
      </c>
      <c r="N679" s="26"/>
      <c r="S679" s="27" t="str">
        <f t="shared" si="49"/>
        <v/>
      </c>
      <c r="T679" s="28" t="str">
        <f t="shared" si="50"/>
        <v/>
      </c>
      <c r="V679" t="str">
        <f t="shared" si="51"/>
        <v/>
      </c>
    </row>
    <row r="680" spans="1:22">
      <c r="A680" s="6"/>
      <c r="H680" s="25"/>
      <c r="I680" s="25"/>
      <c r="J680" s="25"/>
      <c r="K680" s="25"/>
      <c r="L680" s="1" t="str">
        <f t="shared" si="47"/>
        <v/>
      </c>
      <c r="M680" s="1" t="str">
        <f t="shared" si="48"/>
        <v/>
      </c>
      <c r="N680" s="26"/>
      <c r="S680" s="27" t="str">
        <f t="shared" si="49"/>
        <v/>
      </c>
      <c r="T680" s="28" t="str">
        <f t="shared" si="50"/>
        <v/>
      </c>
      <c r="V680" t="str">
        <f t="shared" si="51"/>
        <v/>
      </c>
    </row>
    <row r="681" spans="1:22">
      <c r="A681" s="6"/>
      <c r="H681" s="25"/>
      <c r="I681" s="25"/>
      <c r="J681" s="25"/>
      <c r="K681" s="25"/>
      <c r="L681" s="1" t="str">
        <f t="shared" si="47"/>
        <v/>
      </c>
      <c r="M681" s="1" t="str">
        <f t="shared" si="48"/>
        <v/>
      </c>
      <c r="N681" s="26"/>
      <c r="S681" s="27" t="str">
        <f t="shared" si="49"/>
        <v/>
      </c>
      <c r="T681" s="28" t="str">
        <f t="shared" si="50"/>
        <v/>
      </c>
      <c r="V681" t="str">
        <f t="shared" si="51"/>
        <v/>
      </c>
    </row>
    <row r="682" spans="1:22">
      <c r="A682" s="6"/>
      <c r="H682" s="25"/>
      <c r="I682" s="25"/>
      <c r="J682" s="25"/>
      <c r="K682" s="25"/>
      <c r="L682" s="1" t="str">
        <f t="shared" si="47"/>
        <v/>
      </c>
      <c r="M682" s="1" t="str">
        <f t="shared" si="48"/>
        <v/>
      </c>
      <c r="N682" s="26"/>
      <c r="S682" s="27" t="str">
        <f t="shared" si="49"/>
        <v/>
      </c>
      <c r="T682" s="28" t="str">
        <f t="shared" si="50"/>
        <v/>
      </c>
      <c r="V682" t="str">
        <f t="shared" si="51"/>
        <v/>
      </c>
    </row>
    <row r="683" spans="1:22">
      <c r="A683" s="6"/>
      <c r="H683" s="25"/>
      <c r="I683" s="25"/>
      <c r="J683" s="25"/>
      <c r="K683" s="25"/>
      <c r="L683" s="1" t="str">
        <f t="shared" si="47"/>
        <v/>
      </c>
      <c r="M683" s="1" t="str">
        <f t="shared" si="48"/>
        <v/>
      </c>
      <c r="N683" s="26"/>
      <c r="S683" s="27" t="str">
        <f t="shared" si="49"/>
        <v/>
      </c>
      <c r="T683" s="28" t="str">
        <f t="shared" si="50"/>
        <v/>
      </c>
      <c r="V683" t="str">
        <f t="shared" si="51"/>
        <v/>
      </c>
    </row>
    <row r="684" spans="1:22">
      <c r="A684" s="6"/>
      <c r="H684" s="25"/>
      <c r="I684" s="25"/>
      <c r="J684" s="25"/>
      <c r="K684" s="25"/>
      <c r="L684" s="1" t="str">
        <f t="shared" si="47"/>
        <v/>
      </c>
      <c r="M684" s="1" t="str">
        <f t="shared" si="48"/>
        <v/>
      </c>
      <c r="N684" s="26"/>
      <c r="S684" s="27" t="str">
        <f t="shared" si="49"/>
        <v/>
      </c>
      <c r="T684" s="28" t="str">
        <f t="shared" si="50"/>
        <v/>
      </c>
      <c r="V684" t="str">
        <f t="shared" si="51"/>
        <v/>
      </c>
    </row>
    <row r="685" spans="1:22">
      <c r="A685" s="6"/>
      <c r="H685" s="25"/>
      <c r="I685" s="25"/>
      <c r="J685" s="25"/>
      <c r="K685" s="25"/>
      <c r="L685" s="1" t="str">
        <f t="shared" si="47"/>
        <v/>
      </c>
      <c r="M685" s="1" t="str">
        <f t="shared" si="48"/>
        <v/>
      </c>
      <c r="N685" s="26"/>
      <c r="S685" s="27" t="str">
        <f t="shared" si="49"/>
        <v/>
      </c>
      <c r="T685" s="28" t="str">
        <f t="shared" si="50"/>
        <v/>
      </c>
      <c r="V685" t="str">
        <f t="shared" si="51"/>
        <v/>
      </c>
    </row>
    <row r="686" spans="1:22">
      <c r="A686" s="6"/>
      <c r="H686" s="25"/>
      <c r="I686" s="25"/>
      <c r="J686" s="25"/>
      <c r="K686" s="25"/>
      <c r="L686" s="1" t="str">
        <f t="shared" si="47"/>
        <v/>
      </c>
      <c r="M686" s="1" t="str">
        <f t="shared" si="48"/>
        <v/>
      </c>
      <c r="N686" s="26"/>
      <c r="S686" s="27" t="str">
        <f t="shared" si="49"/>
        <v/>
      </c>
      <c r="T686" s="28" t="str">
        <f t="shared" si="50"/>
        <v/>
      </c>
      <c r="V686" t="str">
        <f t="shared" si="51"/>
        <v/>
      </c>
    </row>
    <row r="687" spans="1:22">
      <c r="A687" s="6"/>
      <c r="H687" s="25"/>
      <c r="I687" s="25"/>
      <c r="J687" s="25"/>
      <c r="K687" s="25"/>
      <c r="L687" s="1" t="str">
        <f t="shared" si="47"/>
        <v/>
      </c>
      <c r="M687" s="1" t="str">
        <f t="shared" si="48"/>
        <v/>
      </c>
      <c r="N687" s="26"/>
      <c r="S687" s="27" t="str">
        <f t="shared" si="49"/>
        <v/>
      </c>
      <c r="T687" s="28" t="str">
        <f t="shared" si="50"/>
        <v/>
      </c>
      <c r="V687" t="str">
        <f t="shared" si="51"/>
        <v/>
      </c>
    </row>
    <row r="688" spans="1:22">
      <c r="A688" s="6"/>
      <c r="H688" s="25"/>
      <c r="I688" s="25"/>
      <c r="J688" s="25"/>
      <c r="K688" s="25"/>
      <c r="L688" s="1" t="str">
        <f t="shared" si="47"/>
        <v/>
      </c>
      <c r="M688" s="1" t="str">
        <f t="shared" si="48"/>
        <v/>
      </c>
      <c r="N688" s="26"/>
      <c r="S688" s="27" t="str">
        <f t="shared" si="49"/>
        <v/>
      </c>
      <c r="T688" s="28" t="str">
        <f t="shared" si="50"/>
        <v/>
      </c>
      <c r="V688" t="str">
        <f t="shared" si="51"/>
        <v/>
      </c>
    </row>
    <row r="689" spans="1:22">
      <c r="A689" s="6"/>
      <c r="H689" s="25"/>
      <c r="I689" s="25"/>
      <c r="J689" s="25"/>
      <c r="K689" s="25"/>
      <c r="L689" s="1" t="str">
        <f t="shared" si="47"/>
        <v/>
      </c>
      <c r="M689" s="1" t="str">
        <f t="shared" si="48"/>
        <v/>
      </c>
      <c r="N689" s="26"/>
      <c r="S689" s="27" t="str">
        <f t="shared" si="49"/>
        <v/>
      </c>
      <c r="T689" s="28" t="str">
        <f t="shared" si="50"/>
        <v/>
      </c>
      <c r="V689" t="str">
        <f t="shared" si="51"/>
        <v/>
      </c>
    </row>
    <row r="690" spans="1:22">
      <c r="A690" s="6"/>
      <c r="H690" s="25"/>
      <c r="I690" s="25"/>
      <c r="J690" s="25"/>
      <c r="K690" s="25"/>
      <c r="L690" s="1" t="str">
        <f t="shared" si="47"/>
        <v/>
      </c>
      <c r="M690" s="1" t="str">
        <f t="shared" si="48"/>
        <v/>
      </c>
      <c r="N690" s="26"/>
      <c r="S690" s="27" t="str">
        <f t="shared" si="49"/>
        <v/>
      </c>
      <c r="T690" s="28" t="str">
        <f t="shared" si="50"/>
        <v/>
      </c>
      <c r="V690" t="str">
        <f t="shared" si="51"/>
        <v/>
      </c>
    </row>
    <row r="691" spans="1:22">
      <c r="A691" s="6"/>
      <c r="H691" s="25"/>
      <c r="I691" s="25"/>
      <c r="J691" s="25"/>
      <c r="K691" s="25"/>
      <c r="L691" s="1" t="str">
        <f t="shared" si="47"/>
        <v/>
      </c>
      <c r="M691" s="1" t="str">
        <f t="shared" si="48"/>
        <v/>
      </c>
      <c r="N691" s="26"/>
      <c r="S691" s="27" t="str">
        <f t="shared" si="49"/>
        <v/>
      </c>
      <c r="T691" s="28" t="str">
        <f t="shared" si="50"/>
        <v/>
      </c>
      <c r="V691" t="str">
        <f t="shared" si="51"/>
        <v/>
      </c>
    </row>
    <row r="692" spans="1:22">
      <c r="A692" s="6"/>
      <c r="H692" s="25"/>
      <c r="I692" s="25"/>
      <c r="J692" s="25"/>
      <c r="K692" s="25"/>
      <c r="L692" s="1" t="str">
        <f t="shared" si="47"/>
        <v/>
      </c>
      <c r="M692" s="1" t="str">
        <f t="shared" si="48"/>
        <v/>
      </c>
      <c r="N692" s="26"/>
      <c r="S692" s="27" t="str">
        <f t="shared" si="49"/>
        <v/>
      </c>
      <c r="T692" s="28" t="str">
        <f t="shared" si="50"/>
        <v/>
      </c>
      <c r="V692" t="str">
        <f t="shared" si="51"/>
        <v/>
      </c>
    </row>
    <row r="693" spans="1:22">
      <c r="A693" s="6"/>
      <c r="H693" s="25"/>
      <c r="I693" s="25"/>
      <c r="J693" s="25"/>
      <c r="K693" s="25"/>
      <c r="L693" s="1" t="str">
        <f t="shared" si="47"/>
        <v/>
      </c>
      <c r="M693" s="1" t="str">
        <f t="shared" si="48"/>
        <v/>
      </c>
      <c r="N693" s="26"/>
      <c r="S693" s="27" t="str">
        <f t="shared" si="49"/>
        <v/>
      </c>
      <c r="T693" s="28" t="str">
        <f t="shared" si="50"/>
        <v/>
      </c>
      <c r="V693" t="str">
        <f t="shared" si="51"/>
        <v/>
      </c>
    </row>
    <row r="694" spans="1:22">
      <c r="A694" s="6"/>
      <c r="H694" s="25"/>
      <c r="I694" s="25"/>
      <c r="J694" s="25"/>
      <c r="K694" s="25"/>
      <c r="L694" s="1" t="str">
        <f t="shared" si="47"/>
        <v/>
      </c>
      <c r="M694" s="1" t="str">
        <f t="shared" si="48"/>
        <v/>
      </c>
      <c r="N694" s="26"/>
      <c r="S694" s="27" t="str">
        <f t="shared" si="49"/>
        <v/>
      </c>
      <c r="T694" s="28" t="str">
        <f t="shared" si="50"/>
        <v/>
      </c>
      <c r="V694" t="str">
        <f t="shared" si="51"/>
        <v/>
      </c>
    </row>
    <row r="695" spans="1:22">
      <c r="A695" s="6"/>
      <c r="H695" s="25"/>
      <c r="I695" s="25"/>
      <c r="J695" s="25"/>
      <c r="K695" s="25"/>
      <c r="L695" s="1" t="str">
        <f t="shared" si="47"/>
        <v/>
      </c>
      <c r="M695" s="1" t="str">
        <f t="shared" si="48"/>
        <v/>
      </c>
      <c r="N695" s="26"/>
      <c r="S695" s="27" t="str">
        <f t="shared" si="49"/>
        <v/>
      </c>
      <c r="T695" s="28" t="str">
        <f t="shared" si="50"/>
        <v/>
      </c>
      <c r="V695" t="str">
        <f t="shared" si="51"/>
        <v/>
      </c>
    </row>
    <row r="696" spans="1:22">
      <c r="A696" s="6"/>
      <c r="H696" s="25"/>
      <c r="I696" s="25"/>
      <c r="J696" s="25"/>
      <c r="K696" s="25"/>
      <c r="L696" s="1" t="str">
        <f t="shared" si="47"/>
        <v/>
      </c>
      <c r="M696" s="1" t="str">
        <f t="shared" si="48"/>
        <v/>
      </c>
      <c r="N696" s="26"/>
      <c r="S696" s="27" t="str">
        <f t="shared" si="49"/>
        <v/>
      </c>
      <c r="T696" s="28" t="str">
        <f t="shared" si="50"/>
        <v/>
      </c>
      <c r="V696" t="str">
        <f t="shared" si="51"/>
        <v/>
      </c>
    </row>
    <row r="697" spans="1:22">
      <c r="A697" s="6"/>
      <c r="H697" s="25"/>
      <c r="I697" s="25"/>
      <c r="J697" s="25"/>
      <c r="K697" s="25"/>
      <c r="L697" s="1" t="str">
        <f t="shared" si="47"/>
        <v/>
      </c>
      <c r="M697" s="1" t="str">
        <f t="shared" si="48"/>
        <v/>
      </c>
      <c r="N697" s="26"/>
      <c r="S697" s="27" t="str">
        <f t="shared" si="49"/>
        <v/>
      </c>
      <c r="T697" s="28" t="str">
        <f t="shared" si="50"/>
        <v/>
      </c>
      <c r="V697" t="str">
        <f t="shared" si="51"/>
        <v/>
      </c>
    </row>
    <row r="698" spans="1:22">
      <c r="A698" s="6"/>
      <c r="H698" s="25"/>
      <c r="I698" s="25"/>
      <c r="J698" s="25"/>
      <c r="K698" s="25"/>
      <c r="L698" s="1" t="str">
        <f t="shared" si="47"/>
        <v/>
      </c>
      <c r="M698" s="1" t="str">
        <f t="shared" si="48"/>
        <v/>
      </c>
      <c r="N698" s="26"/>
      <c r="S698" s="27" t="str">
        <f t="shared" si="49"/>
        <v/>
      </c>
      <c r="T698" s="28" t="str">
        <f t="shared" si="50"/>
        <v/>
      </c>
      <c r="V698" t="str">
        <f t="shared" si="51"/>
        <v/>
      </c>
    </row>
    <row r="699" spans="1:22">
      <c r="A699" s="6"/>
      <c r="H699" s="25"/>
      <c r="I699" s="25"/>
      <c r="J699" s="25"/>
      <c r="K699" s="25"/>
      <c r="L699" s="1" t="str">
        <f t="shared" si="47"/>
        <v/>
      </c>
      <c r="M699" s="1" t="str">
        <f t="shared" si="48"/>
        <v/>
      </c>
      <c r="N699" s="26"/>
      <c r="S699" s="27" t="str">
        <f t="shared" si="49"/>
        <v/>
      </c>
      <c r="T699" s="28" t="str">
        <f t="shared" si="50"/>
        <v/>
      </c>
      <c r="V699" t="str">
        <f t="shared" si="51"/>
        <v/>
      </c>
    </row>
    <row r="700" spans="1:22">
      <c r="A700" s="6"/>
      <c r="H700" s="25"/>
      <c r="I700" s="25"/>
      <c r="J700" s="25"/>
      <c r="K700" s="25"/>
      <c r="L700" s="1" t="str">
        <f t="shared" si="47"/>
        <v/>
      </c>
      <c r="M700" s="1" t="str">
        <f t="shared" si="48"/>
        <v/>
      </c>
      <c r="N700" s="26"/>
      <c r="S700" s="27" t="str">
        <f t="shared" si="49"/>
        <v/>
      </c>
      <c r="T700" s="28" t="str">
        <f t="shared" si="50"/>
        <v/>
      </c>
      <c r="V700" t="str">
        <f t="shared" si="51"/>
        <v/>
      </c>
    </row>
    <row r="701" spans="1:22">
      <c r="A701" s="6"/>
      <c r="H701" s="25"/>
      <c r="I701" s="25"/>
      <c r="J701" s="25"/>
      <c r="K701" s="25"/>
      <c r="L701" s="1" t="str">
        <f t="shared" si="47"/>
        <v/>
      </c>
      <c r="M701" s="1" t="str">
        <f t="shared" si="48"/>
        <v/>
      </c>
      <c r="N701" s="26"/>
      <c r="S701" s="27" t="str">
        <f t="shared" si="49"/>
        <v/>
      </c>
      <c r="T701" s="28" t="str">
        <f t="shared" si="50"/>
        <v/>
      </c>
      <c r="V701" t="str">
        <f t="shared" si="51"/>
        <v/>
      </c>
    </row>
    <row r="702" spans="1:22">
      <c r="A702" s="6"/>
      <c r="H702" s="25"/>
      <c r="I702" s="25"/>
      <c r="J702" s="25"/>
      <c r="K702" s="25"/>
      <c r="L702" s="1" t="str">
        <f t="shared" si="47"/>
        <v/>
      </c>
      <c r="M702" s="1" t="str">
        <f t="shared" si="48"/>
        <v/>
      </c>
      <c r="N702" s="26"/>
      <c r="S702" s="27" t="str">
        <f t="shared" si="49"/>
        <v/>
      </c>
      <c r="T702" s="28" t="str">
        <f t="shared" si="50"/>
        <v/>
      </c>
      <c r="V702" t="str">
        <f t="shared" si="51"/>
        <v/>
      </c>
    </row>
    <row r="703" spans="1:22">
      <c r="A703" s="6"/>
      <c r="H703" s="25"/>
      <c r="I703" s="25"/>
      <c r="J703" s="25"/>
      <c r="K703" s="25"/>
      <c r="L703" s="1" t="str">
        <f t="shared" si="47"/>
        <v/>
      </c>
      <c r="M703" s="1" t="str">
        <f t="shared" si="48"/>
        <v/>
      </c>
      <c r="N703" s="26"/>
      <c r="S703" s="27" t="str">
        <f t="shared" si="49"/>
        <v/>
      </c>
      <c r="T703" s="28" t="str">
        <f t="shared" si="50"/>
        <v/>
      </c>
      <c r="V703" t="str">
        <f t="shared" si="51"/>
        <v/>
      </c>
    </row>
    <row r="704" spans="1:22">
      <c r="A704" s="6"/>
      <c r="H704" s="25"/>
      <c r="I704" s="25"/>
      <c r="J704" s="25"/>
      <c r="K704" s="25"/>
      <c r="L704" s="1" t="str">
        <f t="shared" si="47"/>
        <v/>
      </c>
      <c r="M704" s="1" t="str">
        <f t="shared" si="48"/>
        <v/>
      </c>
      <c r="N704" s="26"/>
      <c r="S704" s="27" t="str">
        <f t="shared" si="49"/>
        <v/>
      </c>
      <c r="T704" s="28" t="str">
        <f t="shared" si="50"/>
        <v/>
      </c>
      <c r="V704" t="str">
        <f t="shared" si="51"/>
        <v/>
      </c>
    </row>
    <row r="705" spans="1:22">
      <c r="A705" s="6"/>
      <c r="H705" s="25"/>
      <c r="I705" s="25"/>
      <c r="J705" s="25"/>
      <c r="K705" s="25"/>
      <c r="L705" s="1" t="str">
        <f t="shared" si="47"/>
        <v/>
      </c>
      <c r="M705" s="1" t="str">
        <f t="shared" si="48"/>
        <v/>
      </c>
      <c r="N705" s="26"/>
      <c r="S705" s="27" t="str">
        <f t="shared" si="49"/>
        <v/>
      </c>
      <c r="T705" s="28" t="str">
        <f t="shared" si="50"/>
        <v/>
      </c>
      <c r="V705" t="str">
        <f t="shared" si="51"/>
        <v/>
      </c>
    </row>
    <row r="706" spans="1:22">
      <c r="A706" s="6"/>
      <c r="H706" s="25"/>
      <c r="I706" s="25"/>
      <c r="J706" s="25"/>
      <c r="K706" s="25"/>
      <c r="L706" s="1" t="str">
        <f t="shared" ref="L706:L769" si="52">IF($A706="","",IF(AND(ISNUMBER($H706),ISNUMBER($K706)),MOD($K706-$H706,1),""))</f>
        <v/>
      </c>
      <c r="M706" s="1" t="str">
        <f t="shared" ref="M706:M769" si="53">IF($A706="","",IF(AND(ISNUMBER($I706),ISNUMBER($J706)),MOD($J706-$I706,1),""))</f>
        <v/>
      </c>
      <c r="N706" s="26"/>
      <c r="S706" s="27" t="str">
        <f t="shared" si="49"/>
        <v/>
      </c>
      <c r="T706" s="28" t="str">
        <f t="shared" si="50"/>
        <v/>
      </c>
      <c r="V706" t="str">
        <f t="shared" si="51"/>
        <v/>
      </c>
    </row>
    <row r="707" spans="1:22">
      <c r="A707" s="6"/>
      <c r="H707" s="25"/>
      <c r="I707" s="25"/>
      <c r="J707" s="25"/>
      <c r="K707" s="25"/>
      <c r="L707" s="1" t="str">
        <f t="shared" si="52"/>
        <v/>
      </c>
      <c r="M707" s="1" t="str">
        <f t="shared" si="53"/>
        <v/>
      </c>
      <c r="N707" s="26"/>
      <c r="S707" s="27" t="str">
        <f t="shared" si="49"/>
        <v/>
      </c>
      <c r="T707" s="28" t="str">
        <f t="shared" si="50"/>
        <v/>
      </c>
      <c r="V707" t="str">
        <f t="shared" si="51"/>
        <v/>
      </c>
    </row>
    <row r="708" spans="1:22">
      <c r="A708" s="6"/>
      <c r="H708" s="25"/>
      <c r="I708" s="25"/>
      <c r="J708" s="25"/>
      <c r="K708" s="25"/>
      <c r="L708" s="1" t="str">
        <f t="shared" si="52"/>
        <v/>
      </c>
      <c r="M708" s="1" t="str">
        <f t="shared" si="53"/>
        <v/>
      </c>
      <c r="N708" s="26"/>
      <c r="S708" s="27" t="str">
        <f t="shared" si="49"/>
        <v/>
      </c>
      <c r="T708" s="28" t="str">
        <f t="shared" si="50"/>
        <v/>
      </c>
      <c r="V708" t="str">
        <f t="shared" si="51"/>
        <v/>
      </c>
    </row>
    <row r="709" spans="1:22">
      <c r="A709" s="6"/>
      <c r="H709" s="25"/>
      <c r="I709" s="25"/>
      <c r="J709" s="25"/>
      <c r="K709" s="25"/>
      <c r="L709" s="1" t="str">
        <f t="shared" si="52"/>
        <v/>
      </c>
      <c r="M709" s="1" t="str">
        <f t="shared" si="53"/>
        <v/>
      </c>
      <c r="N709" s="26"/>
      <c r="S709" s="27" t="str">
        <f t="shared" ref="S709:S772" si="54">IF($C709="","",IF($C709="3344",450,IF($C709="5194",320,IF($C709="6606",290,IF($C709="7430",290,IF($C709="8115",2080,IF($C709="8205",450,IF($C709="8441",260,IF($C709="OK-BIC",3060,IF($C709="OK-BID",3060,IF($C709="OK-BIK",2700,IF($C709="OK-BIL",3060,IF($C709="OK-BIN",3060,IF($C709="OK-BIR",3060,IF($C709="OK-BUG12",2150,IF($C709="OK-CUG23",2370,IF($C709="OK-DAS",5600,IF($C709="OK-DOD",4420,IF($C709="OK-DPH",5000,IF($C709="OK-DUI89",2250,IF($C709="OK-DUI94",4000,IF($C709="OK-EUI10",2250,IF($C709="OK-EUI21",4000,IF($C709="OK-IAF",3060,IF($C709="OK-MPK",3820,IF($C709="OK-NUU90",2080,IF($C709="OK-UUR14",2250,IF($C709="OK-WUS17",3500,IF($C709="OK-XAI04",1860,"")))))))))))))))))))))))))))))</f>
        <v/>
      </c>
      <c r="T709" s="28" t="str">
        <f t="shared" si="50"/>
        <v/>
      </c>
      <c r="V709" t="str">
        <f t="shared" si="51"/>
        <v/>
      </c>
    </row>
    <row r="710" spans="1:22">
      <c r="A710" s="6"/>
      <c r="H710" s="25"/>
      <c r="I710" s="25"/>
      <c r="J710" s="25"/>
      <c r="K710" s="25"/>
      <c r="L710" s="1" t="str">
        <f t="shared" si="52"/>
        <v/>
      </c>
      <c r="M710" s="1" t="str">
        <f t="shared" si="53"/>
        <v/>
      </c>
      <c r="N710" s="26"/>
      <c r="S710" s="27" t="str">
        <f t="shared" si="54"/>
        <v/>
      </c>
      <c r="T710" s="28" t="str">
        <f t="shared" si="50"/>
        <v/>
      </c>
      <c r="V710" t="str">
        <f t="shared" si="51"/>
        <v/>
      </c>
    </row>
    <row r="711" spans="1:22">
      <c r="A711" s="6"/>
      <c r="H711" s="25"/>
      <c r="I711" s="25"/>
      <c r="J711" s="25"/>
      <c r="K711" s="25"/>
      <c r="L711" s="1" t="str">
        <f t="shared" si="52"/>
        <v/>
      </c>
      <c r="M711" s="1" t="str">
        <f t="shared" si="53"/>
        <v/>
      </c>
      <c r="N711" s="26"/>
      <c r="S711" s="27" t="str">
        <f t="shared" si="54"/>
        <v/>
      </c>
      <c r="T711" s="28" t="str">
        <f t="shared" si="50"/>
        <v/>
      </c>
      <c r="V711" t="str">
        <f t="shared" si="51"/>
        <v/>
      </c>
    </row>
    <row r="712" spans="1:22">
      <c r="A712" s="6"/>
      <c r="H712" s="25"/>
      <c r="I712" s="25"/>
      <c r="J712" s="25"/>
      <c r="K712" s="25"/>
      <c r="L712" s="1" t="str">
        <f t="shared" si="52"/>
        <v/>
      </c>
      <c r="M712" s="1" t="str">
        <f t="shared" si="53"/>
        <v/>
      </c>
      <c r="N712" s="26"/>
      <c r="S712" s="27" t="str">
        <f t="shared" si="54"/>
        <v/>
      </c>
      <c r="T712" s="28" t="str">
        <f t="shared" si="50"/>
        <v/>
      </c>
      <c r="V712" t="str">
        <f t="shared" si="51"/>
        <v/>
      </c>
    </row>
    <row r="713" spans="1:22">
      <c r="A713" s="6"/>
      <c r="H713" s="25"/>
      <c r="I713" s="25"/>
      <c r="J713" s="25"/>
      <c r="K713" s="25"/>
      <c r="L713" s="1" t="str">
        <f t="shared" si="52"/>
        <v/>
      </c>
      <c r="M713" s="1" t="str">
        <f t="shared" si="53"/>
        <v/>
      </c>
      <c r="N713" s="26"/>
      <c r="S713" s="27" t="str">
        <f t="shared" si="54"/>
        <v/>
      </c>
      <c r="T713" s="28" t="str">
        <f t="shared" si="50"/>
        <v/>
      </c>
      <c r="V713" t="str">
        <f t="shared" si="51"/>
        <v/>
      </c>
    </row>
    <row r="714" spans="1:22">
      <c r="A714" s="6"/>
      <c r="H714" s="25"/>
      <c r="I714" s="25"/>
      <c r="J714" s="25"/>
      <c r="K714" s="25"/>
      <c r="L714" s="1" t="str">
        <f t="shared" si="52"/>
        <v/>
      </c>
      <c r="M714" s="1" t="str">
        <f t="shared" si="53"/>
        <v/>
      </c>
      <c r="N714" s="26"/>
      <c r="S714" s="27" t="str">
        <f t="shared" si="54"/>
        <v/>
      </c>
      <c r="T714" s="28" t="str">
        <f t="shared" si="50"/>
        <v/>
      </c>
      <c r="V714" t="str">
        <f t="shared" si="51"/>
        <v/>
      </c>
    </row>
    <row r="715" spans="1:22">
      <c r="A715" s="6"/>
      <c r="H715" s="25"/>
      <c r="I715" s="25"/>
      <c r="J715" s="25"/>
      <c r="K715" s="25"/>
      <c r="L715" s="1" t="str">
        <f t="shared" si="52"/>
        <v/>
      </c>
      <c r="M715" s="1" t="str">
        <f t="shared" si="53"/>
        <v/>
      </c>
      <c r="N715" s="26"/>
      <c r="S715" s="27" t="str">
        <f t="shared" si="54"/>
        <v/>
      </c>
      <c r="T715" s="28" t="str">
        <f t="shared" si="50"/>
        <v/>
      </c>
      <c r="V715" t="str">
        <f t="shared" si="51"/>
        <v/>
      </c>
    </row>
    <row r="716" spans="1:22">
      <c r="A716" s="6"/>
      <c r="H716" s="25"/>
      <c r="I716" s="25"/>
      <c r="J716" s="25"/>
      <c r="K716" s="25"/>
      <c r="L716" s="1" t="str">
        <f t="shared" si="52"/>
        <v/>
      </c>
      <c r="M716" s="1" t="str">
        <f t="shared" si="53"/>
        <v/>
      </c>
      <c r="N716" s="26"/>
      <c r="S716" s="27" t="str">
        <f t="shared" si="54"/>
        <v/>
      </c>
      <c r="T716" s="28" t="str">
        <f t="shared" si="50"/>
        <v/>
      </c>
      <c r="V716" t="str">
        <f t="shared" si="51"/>
        <v/>
      </c>
    </row>
    <row r="717" spans="1:22">
      <c r="A717" s="6"/>
      <c r="H717" s="25"/>
      <c r="I717" s="25"/>
      <c r="J717" s="25"/>
      <c r="K717" s="25"/>
      <c r="L717" s="1" t="str">
        <f t="shared" si="52"/>
        <v/>
      </c>
      <c r="M717" s="1" t="str">
        <f t="shared" si="53"/>
        <v/>
      </c>
      <c r="N717" s="26"/>
      <c r="S717" s="27" t="str">
        <f t="shared" si="54"/>
        <v/>
      </c>
      <c r="T717" s="28" t="str">
        <f t="shared" si="50"/>
        <v/>
      </c>
      <c r="V717" t="str">
        <f t="shared" si="51"/>
        <v/>
      </c>
    </row>
    <row r="718" spans="1:22">
      <c r="A718" s="6"/>
      <c r="H718" s="25"/>
      <c r="I718" s="25"/>
      <c r="J718" s="25"/>
      <c r="K718" s="25"/>
      <c r="L718" s="1" t="str">
        <f t="shared" si="52"/>
        <v/>
      </c>
      <c r="M718" s="1" t="str">
        <f t="shared" si="53"/>
        <v/>
      </c>
      <c r="N718" s="26"/>
      <c r="S718" s="27" t="str">
        <f t="shared" si="54"/>
        <v/>
      </c>
      <c r="T718" s="28" t="str">
        <f t="shared" si="50"/>
        <v/>
      </c>
      <c r="V718" t="str">
        <f t="shared" si="51"/>
        <v/>
      </c>
    </row>
    <row r="719" spans="1:22">
      <c r="A719" s="6"/>
      <c r="H719" s="25"/>
      <c r="I719" s="25"/>
      <c r="J719" s="25"/>
      <c r="K719" s="25"/>
      <c r="L719" s="1" t="str">
        <f t="shared" si="52"/>
        <v/>
      </c>
      <c r="M719" s="1" t="str">
        <f t="shared" si="53"/>
        <v/>
      </c>
      <c r="N719" s="26"/>
      <c r="S719" s="27" t="str">
        <f t="shared" si="54"/>
        <v/>
      </c>
      <c r="T719" s="28" t="str">
        <f t="shared" si="50"/>
        <v/>
      </c>
      <c r="V719" t="str">
        <f t="shared" si="51"/>
        <v/>
      </c>
    </row>
    <row r="720" spans="1:22">
      <c r="A720" s="6"/>
      <c r="H720" s="25"/>
      <c r="I720" s="25"/>
      <c r="J720" s="25"/>
      <c r="K720" s="25"/>
      <c r="L720" s="1" t="str">
        <f t="shared" si="52"/>
        <v/>
      </c>
      <c r="M720" s="1" t="str">
        <f t="shared" si="53"/>
        <v/>
      </c>
      <c r="N720" s="26"/>
      <c r="S720" s="27" t="str">
        <f t="shared" si="54"/>
        <v/>
      </c>
      <c r="T720" s="28" t="str">
        <f t="shared" si="50"/>
        <v/>
      </c>
      <c r="V720" t="str">
        <f t="shared" si="51"/>
        <v/>
      </c>
    </row>
    <row r="721" spans="1:22">
      <c r="A721" s="6"/>
      <c r="H721" s="25"/>
      <c r="I721" s="25"/>
      <c r="J721" s="25"/>
      <c r="K721" s="25"/>
      <c r="L721" s="1" t="str">
        <f t="shared" si="52"/>
        <v/>
      </c>
      <c r="M721" s="1" t="str">
        <f t="shared" si="53"/>
        <v/>
      </c>
      <c r="N721" s="26"/>
      <c r="S721" s="27" t="str">
        <f t="shared" si="54"/>
        <v/>
      </c>
      <c r="T721" s="28" t="str">
        <f t="shared" si="50"/>
        <v/>
      </c>
      <c r="V721" t="str">
        <f t="shared" si="51"/>
        <v/>
      </c>
    </row>
    <row r="722" spans="1:22">
      <c r="A722" s="6"/>
      <c r="H722" s="25"/>
      <c r="I722" s="25"/>
      <c r="J722" s="25"/>
      <c r="K722" s="25"/>
      <c r="L722" s="1" t="str">
        <f t="shared" si="52"/>
        <v/>
      </c>
      <c r="M722" s="1" t="str">
        <f t="shared" si="53"/>
        <v/>
      </c>
      <c r="N722" s="26"/>
      <c r="S722" s="27" t="str">
        <f t="shared" si="54"/>
        <v/>
      </c>
      <c r="T722" s="28" t="str">
        <f t="shared" si="50"/>
        <v/>
      </c>
      <c r="V722" t="str">
        <f t="shared" si="51"/>
        <v/>
      </c>
    </row>
    <row r="723" spans="1:22">
      <c r="A723" s="6"/>
      <c r="H723" s="25"/>
      <c r="I723" s="25"/>
      <c r="J723" s="25"/>
      <c r="K723" s="25"/>
      <c r="L723" s="1" t="str">
        <f t="shared" si="52"/>
        <v/>
      </c>
      <c r="M723" s="1" t="str">
        <f t="shared" si="53"/>
        <v/>
      </c>
      <c r="N723" s="26"/>
      <c r="S723" s="27" t="str">
        <f t="shared" si="54"/>
        <v/>
      </c>
      <c r="T723" s="28" t="str">
        <f t="shared" si="50"/>
        <v/>
      </c>
      <c r="V723" t="str">
        <f t="shared" si="51"/>
        <v/>
      </c>
    </row>
    <row r="724" spans="1:22">
      <c r="A724" s="6"/>
      <c r="H724" s="25"/>
      <c r="I724" s="25"/>
      <c r="J724" s="25"/>
      <c r="K724" s="25"/>
      <c r="L724" s="1" t="str">
        <f t="shared" si="52"/>
        <v/>
      </c>
      <c r="M724" s="1" t="str">
        <f t="shared" si="53"/>
        <v/>
      </c>
      <c r="N724" s="26"/>
      <c r="S724" s="27" t="str">
        <f t="shared" si="54"/>
        <v/>
      </c>
      <c r="T724" s="28" t="str">
        <f t="shared" ref="T724:T787" si="55">IF($A724="","",IF(OR($S724="", $S724&lt;=0, $L724=""),"",ROUND($L724*24*$S724,2)))</f>
        <v/>
      </c>
      <c r="V724" t="str">
        <f t="shared" ref="V724:V787" si="56">IF($A724="","",IF(OR(YEAR($A724)&lt;2020,YEAR($A724)&gt;2030),"Podezřelé datum",IF(OR($F724="",$G724=""),"Chybí letiště",IF(OR($H724="",$I724="",$J724="",$K724=""),"Chybí čas",IF(OR($H724&gt;$I724,$I724&gt;$J724,$J724&gt;$K724),"Časy mimo pořadí",IF($M724&gt;$L724,"Air &gt; Block",IF(OR($S724="", $S724&lt;=0),"Chybí sazba","OK")))))))</f>
        <v/>
      </c>
    </row>
    <row r="725" spans="1:22">
      <c r="A725" s="6"/>
      <c r="H725" s="25"/>
      <c r="I725" s="25"/>
      <c r="J725" s="25"/>
      <c r="K725" s="25"/>
      <c r="L725" s="1" t="str">
        <f t="shared" si="52"/>
        <v/>
      </c>
      <c r="M725" s="1" t="str">
        <f t="shared" si="53"/>
        <v/>
      </c>
      <c r="N725" s="26"/>
      <c r="S725" s="27" t="str">
        <f t="shared" si="54"/>
        <v/>
      </c>
      <c r="T725" s="28" t="str">
        <f t="shared" si="55"/>
        <v/>
      </c>
      <c r="V725" t="str">
        <f t="shared" si="56"/>
        <v/>
      </c>
    </row>
    <row r="726" spans="1:22">
      <c r="A726" s="6"/>
      <c r="H726" s="25"/>
      <c r="I726" s="25"/>
      <c r="J726" s="25"/>
      <c r="K726" s="25"/>
      <c r="L726" s="1" t="str">
        <f t="shared" si="52"/>
        <v/>
      </c>
      <c r="M726" s="1" t="str">
        <f t="shared" si="53"/>
        <v/>
      </c>
      <c r="N726" s="26"/>
      <c r="S726" s="27" t="str">
        <f t="shared" si="54"/>
        <v/>
      </c>
      <c r="T726" s="28" t="str">
        <f t="shared" si="55"/>
        <v/>
      </c>
      <c r="V726" t="str">
        <f t="shared" si="56"/>
        <v/>
      </c>
    </row>
    <row r="727" spans="1:22">
      <c r="A727" s="6"/>
      <c r="H727" s="25"/>
      <c r="I727" s="25"/>
      <c r="J727" s="25"/>
      <c r="K727" s="25"/>
      <c r="L727" s="1" t="str">
        <f t="shared" si="52"/>
        <v/>
      </c>
      <c r="M727" s="1" t="str">
        <f t="shared" si="53"/>
        <v/>
      </c>
      <c r="N727" s="26"/>
      <c r="S727" s="27" t="str">
        <f t="shared" si="54"/>
        <v/>
      </c>
      <c r="T727" s="28" t="str">
        <f t="shared" si="55"/>
        <v/>
      </c>
      <c r="V727" t="str">
        <f t="shared" si="56"/>
        <v/>
      </c>
    </row>
    <row r="728" spans="1:22">
      <c r="A728" s="6"/>
      <c r="H728" s="25"/>
      <c r="I728" s="25"/>
      <c r="J728" s="25"/>
      <c r="K728" s="25"/>
      <c r="L728" s="1" t="str">
        <f t="shared" si="52"/>
        <v/>
      </c>
      <c r="M728" s="1" t="str">
        <f t="shared" si="53"/>
        <v/>
      </c>
      <c r="N728" s="26"/>
      <c r="S728" s="27" t="str">
        <f t="shared" si="54"/>
        <v/>
      </c>
      <c r="T728" s="28" t="str">
        <f t="shared" si="55"/>
        <v/>
      </c>
      <c r="V728" t="str">
        <f t="shared" si="56"/>
        <v/>
      </c>
    </row>
    <row r="729" spans="1:22">
      <c r="A729" s="6"/>
      <c r="H729" s="25"/>
      <c r="I729" s="25"/>
      <c r="J729" s="25"/>
      <c r="K729" s="25"/>
      <c r="L729" s="1" t="str">
        <f t="shared" si="52"/>
        <v/>
      </c>
      <c r="M729" s="1" t="str">
        <f t="shared" si="53"/>
        <v/>
      </c>
      <c r="N729" s="26"/>
      <c r="S729" s="27" t="str">
        <f t="shared" si="54"/>
        <v/>
      </c>
      <c r="T729" s="28" t="str">
        <f t="shared" si="55"/>
        <v/>
      </c>
      <c r="V729" t="str">
        <f t="shared" si="56"/>
        <v/>
      </c>
    </row>
    <row r="730" spans="1:22">
      <c r="A730" s="6"/>
      <c r="H730" s="25"/>
      <c r="I730" s="25"/>
      <c r="J730" s="25"/>
      <c r="K730" s="25"/>
      <c r="L730" s="1" t="str">
        <f t="shared" si="52"/>
        <v/>
      </c>
      <c r="M730" s="1" t="str">
        <f t="shared" si="53"/>
        <v/>
      </c>
      <c r="N730" s="26"/>
      <c r="S730" s="27" t="str">
        <f t="shared" si="54"/>
        <v/>
      </c>
      <c r="T730" s="28" t="str">
        <f t="shared" si="55"/>
        <v/>
      </c>
      <c r="V730" t="str">
        <f t="shared" si="56"/>
        <v/>
      </c>
    </row>
    <row r="731" spans="1:22">
      <c r="A731" s="6"/>
      <c r="H731" s="25"/>
      <c r="I731" s="25"/>
      <c r="J731" s="25"/>
      <c r="K731" s="25"/>
      <c r="L731" s="1" t="str">
        <f t="shared" si="52"/>
        <v/>
      </c>
      <c r="M731" s="1" t="str">
        <f t="shared" si="53"/>
        <v/>
      </c>
      <c r="N731" s="26"/>
      <c r="S731" s="27" t="str">
        <f t="shared" si="54"/>
        <v/>
      </c>
      <c r="T731" s="28" t="str">
        <f t="shared" si="55"/>
        <v/>
      </c>
      <c r="V731" t="str">
        <f t="shared" si="56"/>
        <v/>
      </c>
    </row>
    <row r="732" spans="1:22">
      <c r="A732" s="6"/>
      <c r="H732" s="25"/>
      <c r="I732" s="25"/>
      <c r="J732" s="25"/>
      <c r="K732" s="25"/>
      <c r="L732" s="1" t="str">
        <f t="shared" si="52"/>
        <v/>
      </c>
      <c r="M732" s="1" t="str">
        <f t="shared" si="53"/>
        <v/>
      </c>
      <c r="N732" s="26"/>
      <c r="S732" s="27" t="str">
        <f t="shared" si="54"/>
        <v/>
      </c>
      <c r="T732" s="28" t="str">
        <f t="shared" si="55"/>
        <v/>
      </c>
      <c r="V732" t="str">
        <f t="shared" si="56"/>
        <v/>
      </c>
    </row>
    <row r="733" spans="1:22">
      <c r="A733" s="6"/>
      <c r="H733" s="25"/>
      <c r="I733" s="25"/>
      <c r="J733" s="25"/>
      <c r="K733" s="25"/>
      <c r="L733" s="1" t="str">
        <f t="shared" si="52"/>
        <v/>
      </c>
      <c r="M733" s="1" t="str">
        <f t="shared" si="53"/>
        <v/>
      </c>
      <c r="N733" s="26"/>
      <c r="S733" s="27" t="str">
        <f t="shared" si="54"/>
        <v/>
      </c>
      <c r="T733" s="28" t="str">
        <f t="shared" si="55"/>
        <v/>
      </c>
      <c r="V733" t="str">
        <f t="shared" si="56"/>
        <v/>
      </c>
    </row>
    <row r="734" spans="1:22">
      <c r="A734" s="6"/>
      <c r="H734" s="25"/>
      <c r="I734" s="25"/>
      <c r="J734" s="25"/>
      <c r="K734" s="25"/>
      <c r="L734" s="1" t="str">
        <f t="shared" si="52"/>
        <v/>
      </c>
      <c r="M734" s="1" t="str">
        <f t="shared" si="53"/>
        <v/>
      </c>
      <c r="N734" s="26"/>
      <c r="S734" s="27" t="str">
        <f t="shared" si="54"/>
        <v/>
      </c>
      <c r="T734" s="28" t="str">
        <f t="shared" si="55"/>
        <v/>
      </c>
      <c r="V734" t="str">
        <f t="shared" si="56"/>
        <v/>
      </c>
    </row>
    <row r="735" spans="1:22">
      <c r="A735" s="6"/>
      <c r="H735" s="25"/>
      <c r="I735" s="25"/>
      <c r="J735" s="25"/>
      <c r="K735" s="25"/>
      <c r="L735" s="1" t="str">
        <f t="shared" si="52"/>
        <v/>
      </c>
      <c r="M735" s="1" t="str">
        <f t="shared" si="53"/>
        <v/>
      </c>
      <c r="N735" s="26"/>
      <c r="S735" s="27" t="str">
        <f t="shared" si="54"/>
        <v/>
      </c>
      <c r="T735" s="28" t="str">
        <f t="shared" si="55"/>
        <v/>
      </c>
      <c r="V735" t="str">
        <f t="shared" si="56"/>
        <v/>
      </c>
    </row>
    <row r="736" spans="1:22">
      <c r="A736" s="6"/>
      <c r="H736" s="25"/>
      <c r="I736" s="25"/>
      <c r="J736" s="25"/>
      <c r="K736" s="25"/>
      <c r="L736" s="1" t="str">
        <f t="shared" si="52"/>
        <v/>
      </c>
      <c r="M736" s="1" t="str">
        <f t="shared" si="53"/>
        <v/>
      </c>
      <c r="N736" s="26"/>
      <c r="S736" s="27" t="str">
        <f t="shared" si="54"/>
        <v/>
      </c>
      <c r="T736" s="28" t="str">
        <f t="shared" si="55"/>
        <v/>
      </c>
      <c r="V736" t="str">
        <f t="shared" si="56"/>
        <v/>
      </c>
    </row>
    <row r="737" spans="1:22">
      <c r="A737" s="6"/>
      <c r="H737" s="25"/>
      <c r="I737" s="25"/>
      <c r="J737" s="25"/>
      <c r="K737" s="25"/>
      <c r="L737" s="1" t="str">
        <f t="shared" si="52"/>
        <v/>
      </c>
      <c r="M737" s="1" t="str">
        <f t="shared" si="53"/>
        <v/>
      </c>
      <c r="N737" s="26"/>
      <c r="S737" s="27" t="str">
        <f t="shared" si="54"/>
        <v/>
      </c>
      <c r="T737" s="28" t="str">
        <f t="shared" si="55"/>
        <v/>
      </c>
      <c r="V737" t="str">
        <f t="shared" si="56"/>
        <v/>
      </c>
    </row>
    <row r="738" spans="1:22">
      <c r="A738" s="6"/>
      <c r="H738" s="25"/>
      <c r="I738" s="25"/>
      <c r="J738" s="25"/>
      <c r="K738" s="25"/>
      <c r="L738" s="1" t="str">
        <f t="shared" si="52"/>
        <v/>
      </c>
      <c r="M738" s="1" t="str">
        <f t="shared" si="53"/>
        <v/>
      </c>
      <c r="N738" s="26"/>
      <c r="S738" s="27" t="str">
        <f t="shared" si="54"/>
        <v/>
      </c>
      <c r="T738" s="28" t="str">
        <f t="shared" si="55"/>
        <v/>
      </c>
      <c r="V738" t="str">
        <f t="shared" si="56"/>
        <v/>
      </c>
    </row>
    <row r="739" spans="1:22">
      <c r="A739" s="6"/>
      <c r="H739" s="25"/>
      <c r="I739" s="25"/>
      <c r="J739" s="25"/>
      <c r="K739" s="25"/>
      <c r="L739" s="1" t="str">
        <f t="shared" si="52"/>
        <v/>
      </c>
      <c r="M739" s="1" t="str">
        <f t="shared" si="53"/>
        <v/>
      </c>
      <c r="N739" s="26"/>
      <c r="S739" s="27" t="str">
        <f t="shared" si="54"/>
        <v/>
      </c>
      <c r="T739" s="28" t="str">
        <f t="shared" si="55"/>
        <v/>
      </c>
      <c r="V739" t="str">
        <f t="shared" si="56"/>
        <v/>
      </c>
    </row>
    <row r="740" spans="1:22">
      <c r="A740" s="6"/>
      <c r="H740" s="25"/>
      <c r="I740" s="25"/>
      <c r="J740" s="25"/>
      <c r="K740" s="25"/>
      <c r="L740" s="1" t="str">
        <f t="shared" si="52"/>
        <v/>
      </c>
      <c r="M740" s="1" t="str">
        <f t="shared" si="53"/>
        <v/>
      </c>
      <c r="N740" s="26"/>
      <c r="S740" s="27" t="str">
        <f t="shared" si="54"/>
        <v/>
      </c>
      <c r="T740" s="28" t="str">
        <f t="shared" si="55"/>
        <v/>
      </c>
      <c r="V740" t="str">
        <f t="shared" si="56"/>
        <v/>
      </c>
    </row>
    <row r="741" spans="1:22">
      <c r="A741" s="6"/>
      <c r="H741" s="25"/>
      <c r="I741" s="25"/>
      <c r="J741" s="25"/>
      <c r="K741" s="25"/>
      <c r="L741" s="1" t="str">
        <f t="shared" si="52"/>
        <v/>
      </c>
      <c r="M741" s="1" t="str">
        <f t="shared" si="53"/>
        <v/>
      </c>
      <c r="N741" s="26"/>
      <c r="S741" s="27" t="str">
        <f t="shared" si="54"/>
        <v/>
      </c>
      <c r="T741" s="28" t="str">
        <f t="shared" si="55"/>
        <v/>
      </c>
      <c r="V741" t="str">
        <f t="shared" si="56"/>
        <v/>
      </c>
    </row>
    <row r="742" spans="1:22">
      <c r="A742" s="6"/>
      <c r="H742" s="25"/>
      <c r="I742" s="25"/>
      <c r="J742" s="25"/>
      <c r="K742" s="25"/>
      <c r="L742" s="1" t="str">
        <f t="shared" si="52"/>
        <v/>
      </c>
      <c r="M742" s="1" t="str">
        <f t="shared" si="53"/>
        <v/>
      </c>
      <c r="N742" s="26"/>
      <c r="S742" s="27" t="str">
        <f t="shared" si="54"/>
        <v/>
      </c>
      <c r="T742" s="28" t="str">
        <f t="shared" si="55"/>
        <v/>
      </c>
      <c r="V742" t="str">
        <f t="shared" si="56"/>
        <v/>
      </c>
    </row>
    <row r="743" spans="1:22">
      <c r="A743" s="6"/>
      <c r="H743" s="25"/>
      <c r="I743" s="25"/>
      <c r="J743" s="25"/>
      <c r="K743" s="25"/>
      <c r="L743" s="1" t="str">
        <f t="shared" si="52"/>
        <v/>
      </c>
      <c r="M743" s="1" t="str">
        <f t="shared" si="53"/>
        <v/>
      </c>
      <c r="N743" s="26"/>
      <c r="S743" s="27" t="str">
        <f t="shared" si="54"/>
        <v/>
      </c>
      <c r="T743" s="28" t="str">
        <f t="shared" si="55"/>
        <v/>
      </c>
      <c r="V743" t="str">
        <f t="shared" si="56"/>
        <v/>
      </c>
    </row>
    <row r="744" spans="1:22">
      <c r="A744" s="6"/>
      <c r="H744" s="25"/>
      <c r="I744" s="25"/>
      <c r="J744" s="25"/>
      <c r="K744" s="25"/>
      <c r="L744" s="1" t="str">
        <f t="shared" si="52"/>
        <v/>
      </c>
      <c r="M744" s="1" t="str">
        <f t="shared" si="53"/>
        <v/>
      </c>
      <c r="N744" s="26"/>
      <c r="S744" s="27" t="str">
        <f t="shared" si="54"/>
        <v/>
      </c>
      <c r="T744" s="28" t="str">
        <f t="shared" si="55"/>
        <v/>
      </c>
      <c r="V744" t="str">
        <f t="shared" si="56"/>
        <v/>
      </c>
    </row>
    <row r="745" spans="1:22">
      <c r="A745" s="6"/>
      <c r="H745" s="25"/>
      <c r="I745" s="25"/>
      <c r="J745" s="25"/>
      <c r="K745" s="25"/>
      <c r="L745" s="1" t="str">
        <f t="shared" si="52"/>
        <v/>
      </c>
      <c r="M745" s="1" t="str">
        <f t="shared" si="53"/>
        <v/>
      </c>
      <c r="N745" s="26"/>
      <c r="S745" s="27" t="str">
        <f t="shared" si="54"/>
        <v/>
      </c>
      <c r="T745" s="28" t="str">
        <f t="shared" si="55"/>
        <v/>
      </c>
      <c r="V745" t="str">
        <f t="shared" si="56"/>
        <v/>
      </c>
    </row>
    <row r="746" spans="1:22">
      <c r="A746" s="6"/>
      <c r="H746" s="25"/>
      <c r="I746" s="25"/>
      <c r="J746" s="25"/>
      <c r="K746" s="25"/>
      <c r="L746" s="1" t="str">
        <f t="shared" si="52"/>
        <v/>
      </c>
      <c r="M746" s="1" t="str">
        <f t="shared" si="53"/>
        <v/>
      </c>
      <c r="N746" s="26"/>
      <c r="S746" s="27" t="str">
        <f t="shared" si="54"/>
        <v/>
      </c>
      <c r="T746" s="28" t="str">
        <f t="shared" si="55"/>
        <v/>
      </c>
      <c r="V746" t="str">
        <f t="shared" si="56"/>
        <v/>
      </c>
    </row>
    <row r="747" spans="1:22">
      <c r="A747" s="6"/>
      <c r="H747" s="25"/>
      <c r="I747" s="25"/>
      <c r="J747" s="25"/>
      <c r="K747" s="25"/>
      <c r="L747" s="1" t="str">
        <f t="shared" si="52"/>
        <v/>
      </c>
      <c r="M747" s="1" t="str">
        <f t="shared" si="53"/>
        <v/>
      </c>
      <c r="N747" s="26"/>
      <c r="S747" s="27" t="str">
        <f t="shared" si="54"/>
        <v/>
      </c>
      <c r="T747" s="28" t="str">
        <f t="shared" si="55"/>
        <v/>
      </c>
      <c r="V747" t="str">
        <f t="shared" si="56"/>
        <v/>
      </c>
    </row>
    <row r="748" spans="1:22">
      <c r="A748" s="6"/>
      <c r="H748" s="25"/>
      <c r="I748" s="25"/>
      <c r="J748" s="25"/>
      <c r="K748" s="25"/>
      <c r="L748" s="1" t="str">
        <f t="shared" si="52"/>
        <v/>
      </c>
      <c r="M748" s="1" t="str">
        <f t="shared" si="53"/>
        <v/>
      </c>
      <c r="N748" s="26"/>
      <c r="S748" s="27" t="str">
        <f t="shared" si="54"/>
        <v/>
      </c>
      <c r="T748" s="28" t="str">
        <f t="shared" si="55"/>
        <v/>
      </c>
      <c r="V748" t="str">
        <f t="shared" si="56"/>
        <v/>
      </c>
    </row>
    <row r="749" spans="1:22">
      <c r="A749" s="6"/>
      <c r="H749" s="25"/>
      <c r="I749" s="25"/>
      <c r="J749" s="25"/>
      <c r="K749" s="25"/>
      <c r="L749" s="1" t="str">
        <f t="shared" si="52"/>
        <v/>
      </c>
      <c r="M749" s="1" t="str">
        <f t="shared" si="53"/>
        <v/>
      </c>
      <c r="N749" s="26"/>
      <c r="S749" s="27" t="str">
        <f t="shared" si="54"/>
        <v/>
      </c>
      <c r="T749" s="28" t="str">
        <f t="shared" si="55"/>
        <v/>
      </c>
      <c r="V749" t="str">
        <f t="shared" si="56"/>
        <v/>
      </c>
    </row>
    <row r="750" spans="1:22">
      <c r="A750" s="6"/>
      <c r="H750" s="25"/>
      <c r="I750" s="25"/>
      <c r="J750" s="25"/>
      <c r="K750" s="25"/>
      <c r="L750" s="1" t="str">
        <f t="shared" si="52"/>
        <v/>
      </c>
      <c r="M750" s="1" t="str">
        <f t="shared" si="53"/>
        <v/>
      </c>
      <c r="N750" s="26"/>
      <c r="S750" s="27" t="str">
        <f t="shared" si="54"/>
        <v/>
      </c>
      <c r="T750" s="28" t="str">
        <f t="shared" si="55"/>
        <v/>
      </c>
      <c r="V750" t="str">
        <f t="shared" si="56"/>
        <v/>
      </c>
    </row>
    <row r="751" spans="1:22">
      <c r="A751" s="6"/>
      <c r="H751" s="25"/>
      <c r="I751" s="25"/>
      <c r="J751" s="25"/>
      <c r="K751" s="25"/>
      <c r="L751" s="1" t="str">
        <f t="shared" si="52"/>
        <v/>
      </c>
      <c r="M751" s="1" t="str">
        <f t="shared" si="53"/>
        <v/>
      </c>
      <c r="N751" s="26"/>
      <c r="S751" s="27" t="str">
        <f t="shared" si="54"/>
        <v/>
      </c>
      <c r="T751" s="28" t="str">
        <f t="shared" si="55"/>
        <v/>
      </c>
      <c r="V751" t="str">
        <f t="shared" si="56"/>
        <v/>
      </c>
    </row>
    <row r="752" spans="1:22">
      <c r="A752" s="6"/>
      <c r="H752" s="25"/>
      <c r="I752" s="25"/>
      <c r="J752" s="25"/>
      <c r="K752" s="25"/>
      <c r="L752" s="1" t="str">
        <f t="shared" si="52"/>
        <v/>
      </c>
      <c r="M752" s="1" t="str">
        <f t="shared" si="53"/>
        <v/>
      </c>
      <c r="N752" s="26"/>
      <c r="S752" s="27" t="str">
        <f t="shared" si="54"/>
        <v/>
      </c>
      <c r="T752" s="28" t="str">
        <f t="shared" si="55"/>
        <v/>
      </c>
      <c r="V752" t="str">
        <f t="shared" si="56"/>
        <v/>
      </c>
    </row>
    <row r="753" spans="1:22">
      <c r="A753" s="6"/>
      <c r="H753" s="25"/>
      <c r="I753" s="25"/>
      <c r="J753" s="25"/>
      <c r="K753" s="25"/>
      <c r="L753" s="1" t="str">
        <f t="shared" si="52"/>
        <v/>
      </c>
      <c r="M753" s="1" t="str">
        <f t="shared" si="53"/>
        <v/>
      </c>
      <c r="N753" s="26"/>
      <c r="S753" s="27" t="str">
        <f t="shared" si="54"/>
        <v/>
      </c>
      <c r="T753" s="28" t="str">
        <f t="shared" si="55"/>
        <v/>
      </c>
      <c r="V753" t="str">
        <f t="shared" si="56"/>
        <v/>
      </c>
    </row>
    <row r="754" spans="1:22">
      <c r="A754" s="6"/>
      <c r="H754" s="25"/>
      <c r="I754" s="25"/>
      <c r="J754" s="25"/>
      <c r="K754" s="25"/>
      <c r="L754" s="1" t="str">
        <f t="shared" si="52"/>
        <v/>
      </c>
      <c r="M754" s="1" t="str">
        <f t="shared" si="53"/>
        <v/>
      </c>
      <c r="N754" s="26"/>
      <c r="S754" s="27" t="str">
        <f t="shared" si="54"/>
        <v/>
      </c>
      <c r="T754" s="28" t="str">
        <f t="shared" si="55"/>
        <v/>
      </c>
      <c r="V754" t="str">
        <f t="shared" si="56"/>
        <v/>
      </c>
    </row>
    <row r="755" spans="1:22">
      <c r="A755" s="6"/>
      <c r="H755" s="25"/>
      <c r="I755" s="25"/>
      <c r="J755" s="25"/>
      <c r="K755" s="25"/>
      <c r="L755" s="1" t="str">
        <f t="shared" si="52"/>
        <v/>
      </c>
      <c r="M755" s="1" t="str">
        <f t="shared" si="53"/>
        <v/>
      </c>
      <c r="N755" s="26"/>
      <c r="S755" s="27" t="str">
        <f t="shared" si="54"/>
        <v/>
      </c>
      <c r="T755" s="28" t="str">
        <f t="shared" si="55"/>
        <v/>
      </c>
      <c r="V755" t="str">
        <f t="shared" si="56"/>
        <v/>
      </c>
    </row>
    <row r="756" spans="1:22">
      <c r="A756" s="6"/>
      <c r="H756" s="25"/>
      <c r="I756" s="25"/>
      <c r="J756" s="25"/>
      <c r="K756" s="25"/>
      <c r="L756" s="1" t="str">
        <f t="shared" si="52"/>
        <v/>
      </c>
      <c r="M756" s="1" t="str">
        <f t="shared" si="53"/>
        <v/>
      </c>
      <c r="N756" s="26"/>
      <c r="S756" s="27" t="str">
        <f t="shared" si="54"/>
        <v/>
      </c>
      <c r="T756" s="28" t="str">
        <f t="shared" si="55"/>
        <v/>
      </c>
      <c r="V756" t="str">
        <f t="shared" si="56"/>
        <v/>
      </c>
    </row>
    <row r="757" spans="1:22">
      <c r="A757" s="6"/>
      <c r="H757" s="25"/>
      <c r="I757" s="25"/>
      <c r="J757" s="25"/>
      <c r="K757" s="25"/>
      <c r="L757" s="1" t="str">
        <f t="shared" si="52"/>
        <v/>
      </c>
      <c r="M757" s="1" t="str">
        <f t="shared" si="53"/>
        <v/>
      </c>
      <c r="N757" s="26"/>
      <c r="S757" s="27" t="str">
        <f t="shared" si="54"/>
        <v/>
      </c>
      <c r="T757" s="28" t="str">
        <f t="shared" si="55"/>
        <v/>
      </c>
      <c r="V757" t="str">
        <f t="shared" si="56"/>
        <v/>
      </c>
    </row>
    <row r="758" spans="1:22">
      <c r="A758" s="6"/>
      <c r="H758" s="25"/>
      <c r="I758" s="25"/>
      <c r="J758" s="25"/>
      <c r="K758" s="25"/>
      <c r="L758" s="1" t="str">
        <f t="shared" si="52"/>
        <v/>
      </c>
      <c r="M758" s="1" t="str">
        <f t="shared" si="53"/>
        <v/>
      </c>
      <c r="N758" s="26"/>
      <c r="S758" s="27" t="str">
        <f t="shared" si="54"/>
        <v/>
      </c>
      <c r="T758" s="28" t="str">
        <f t="shared" si="55"/>
        <v/>
      </c>
      <c r="V758" t="str">
        <f t="shared" si="56"/>
        <v/>
      </c>
    </row>
    <row r="759" spans="1:22">
      <c r="A759" s="6"/>
      <c r="H759" s="25"/>
      <c r="I759" s="25"/>
      <c r="J759" s="25"/>
      <c r="K759" s="25"/>
      <c r="L759" s="1" t="str">
        <f t="shared" si="52"/>
        <v/>
      </c>
      <c r="M759" s="1" t="str">
        <f t="shared" si="53"/>
        <v/>
      </c>
      <c r="N759" s="26"/>
      <c r="S759" s="27" t="str">
        <f t="shared" si="54"/>
        <v/>
      </c>
      <c r="T759" s="28" t="str">
        <f t="shared" si="55"/>
        <v/>
      </c>
      <c r="V759" t="str">
        <f t="shared" si="56"/>
        <v/>
      </c>
    </row>
    <row r="760" spans="1:22">
      <c r="A760" s="6"/>
      <c r="H760" s="25"/>
      <c r="I760" s="25"/>
      <c r="J760" s="25"/>
      <c r="K760" s="25"/>
      <c r="L760" s="1" t="str">
        <f t="shared" si="52"/>
        <v/>
      </c>
      <c r="M760" s="1" t="str">
        <f t="shared" si="53"/>
        <v/>
      </c>
      <c r="N760" s="26"/>
      <c r="S760" s="27" t="str">
        <f t="shared" si="54"/>
        <v/>
      </c>
      <c r="T760" s="28" t="str">
        <f t="shared" si="55"/>
        <v/>
      </c>
      <c r="V760" t="str">
        <f t="shared" si="56"/>
        <v/>
      </c>
    </row>
    <row r="761" spans="1:22">
      <c r="A761" s="6"/>
      <c r="H761" s="25"/>
      <c r="I761" s="25"/>
      <c r="J761" s="25"/>
      <c r="K761" s="25"/>
      <c r="L761" s="1" t="str">
        <f t="shared" si="52"/>
        <v/>
      </c>
      <c r="M761" s="1" t="str">
        <f t="shared" si="53"/>
        <v/>
      </c>
      <c r="N761" s="26"/>
      <c r="S761" s="27" t="str">
        <f t="shared" si="54"/>
        <v/>
      </c>
      <c r="T761" s="28" t="str">
        <f t="shared" si="55"/>
        <v/>
      </c>
      <c r="V761" t="str">
        <f t="shared" si="56"/>
        <v/>
      </c>
    </row>
    <row r="762" spans="1:22">
      <c r="A762" s="6"/>
      <c r="H762" s="25"/>
      <c r="I762" s="25"/>
      <c r="J762" s="25"/>
      <c r="K762" s="25"/>
      <c r="L762" s="1" t="str">
        <f t="shared" si="52"/>
        <v/>
      </c>
      <c r="M762" s="1" t="str">
        <f t="shared" si="53"/>
        <v/>
      </c>
      <c r="N762" s="26"/>
      <c r="S762" s="27" t="str">
        <f t="shared" si="54"/>
        <v/>
      </c>
      <c r="T762" s="28" t="str">
        <f t="shared" si="55"/>
        <v/>
      </c>
      <c r="V762" t="str">
        <f t="shared" si="56"/>
        <v/>
      </c>
    </row>
    <row r="763" spans="1:22">
      <c r="A763" s="6"/>
      <c r="H763" s="25"/>
      <c r="I763" s="25"/>
      <c r="J763" s="25"/>
      <c r="K763" s="25"/>
      <c r="L763" s="1" t="str">
        <f t="shared" si="52"/>
        <v/>
      </c>
      <c r="M763" s="1" t="str">
        <f t="shared" si="53"/>
        <v/>
      </c>
      <c r="N763" s="26"/>
      <c r="S763" s="27" t="str">
        <f t="shared" si="54"/>
        <v/>
      </c>
      <c r="T763" s="28" t="str">
        <f t="shared" si="55"/>
        <v/>
      </c>
      <c r="V763" t="str">
        <f t="shared" si="56"/>
        <v/>
      </c>
    </row>
    <row r="764" spans="1:22">
      <c r="A764" s="6"/>
      <c r="H764" s="25"/>
      <c r="I764" s="25"/>
      <c r="J764" s="25"/>
      <c r="K764" s="25"/>
      <c r="L764" s="1" t="str">
        <f t="shared" si="52"/>
        <v/>
      </c>
      <c r="M764" s="1" t="str">
        <f t="shared" si="53"/>
        <v/>
      </c>
      <c r="N764" s="26"/>
      <c r="S764" s="27" t="str">
        <f t="shared" si="54"/>
        <v/>
      </c>
      <c r="T764" s="28" t="str">
        <f t="shared" si="55"/>
        <v/>
      </c>
      <c r="V764" t="str">
        <f t="shared" si="56"/>
        <v/>
      </c>
    </row>
    <row r="765" spans="1:22">
      <c r="A765" s="6"/>
      <c r="H765" s="25"/>
      <c r="I765" s="25"/>
      <c r="J765" s="25"/>
      <c r="K765" s="25"/>
      <c r="L765" s="1" t="str">
        <f t="shared" si="52"/>
        <v/>
      </c>
      <c r="M765" s="1" t="str">
        <f t="shared" si="53"/>
        <v/>
      </c>
      <c r="N765" s="26"/>
      <c r="S765" s="27" t="str">
        <f t="shared" si="54"/>
        <v/>
      </c>
      <c r="T765" s="28" t="str">
        <f t="shared" si="55"/>
        <v/>
      </c>
      <c r="V765" t="str">
        <f t="shared" si="56"/>
        <v/>
      </c>
    </row>
    <row r="766" spans="1:22">
      <c r="A766" s="6"/>
      <c r="H766" s="25"/>
      <c r="I766" s="25"/>
      <c r="J766" s="25"/>
      <c r="K766" s="25"/>
      <c r="L766" s="1" t="str">
        <f t="shared" si="52"/>
        <v/>
      </c>
      <c r="M766" s="1" t="str">
        <f t="shared" si="53"/>
        <v/>
      </c>
      <c r="N766" s="26"/>
      <c r="S766" s="27" t="str">
        <f t="shared" si="54"/>
        <v/>
      </c>
      <c r="T766" s="28" t="str">
        <f t="shared" si="55"/>
        <v/>
      </c>
      <c r="V766" t="str">
        <f t="shared" si="56"/>
        <v/>
      </c>
    </row>
    <row r="767" spans="1:22">
      <c r="A767" s="6"/>
      <c r="H767" s="25"/>
      <c r="I767" s="25"/>
      <c r="J767" s="25"/>
      <c r="K767" s="25"/>
      <c r="L767" s="1" t="str">
        <f t="shared" si="52"/>
        <v/>
      </c>
      <c r="M767" s="1" t="str">
        <f t="shared" si="53"/>
        <v/>
      </c>
      <c r="N767" s="26"/>
      <c r="S767" s="27" t="str">
        <f t="shared" si="54"/>
        <v/>
      </c>
      <c r="T767" s="28" t="str">
        <f t="shared" si="55"/>
        <v/>
      </c>
      <c r="V767" t="str">
        <f t="shared" si="56"/>
        <v/>
      </c>
    </row>
    <row r="768" spans="1:22">
      <c r="A768" s="6"/>
      <c r="H768" s="25"/>
      <c r="I768" s="25"/>
      <c r="J768" s="25"/>
      <c r="K768" s="25"/>
      <c r="L768" s="1" t="str">
        <f t="shared" si="52"/>
        <v/>
      </c>
      <c r="M768" s="1" t="str">
        <f t="shared" si="53"/>
        <v/>
      </c>
      <c r="N768" s="26"/>
      <c r="S768" s="27" t="str">
        <f t="shared" si="54"/>
        <v/>
      </c>
      <c r="T768" s="28" t="str">
        <f t="shared" si="55"/>
        <v/>
      </c>
      <c r="V768" t="str">
        <f t="shared" si="56"/>
        <v/>
      </c>
    </row>
    <row r="769" spans="1:22">
      <c r="A769" s="6"/>
      <c r="H769" s="25"/>
      <c r="I769" s="25"/>
      <c r="J769" s="25"/>
      <c r="K769" s="25"/>
      <c r="L769" s="1" t="str">
        <f t="shared" si="52"/>
        <v/>
      </c>
      <c r="M769" s="1" t="str">
        <f t="shared" si="53"/>
        <v/>
      </c>
      <c r="N769" s="26"/>
      <c r="S769" s="27" t="str">
        <f t="shared" si="54"/>
        <v/>
      </c>
      <c r="T769" s="28" t="str">
        <f t="shared" si="55"/>
        <v/>
      </c>
      <c r="V769" t="str">
        <f t="shared" si="56"/>
        <v/>
      </c>
    </row>
    <row r="770" spans="1:22">
      <c r="A770" s="6"/>
      <c r="H770" s="25"/>
      <c r="I770" s="25"/>
      <c r="J770" s="25"/>
      <c r="K770" s="25"/>
      <c r="L770" s="1" t="str">
        <f t="shared" ref="L770:L833" si="57">IF($A770="","",IF(AND(ISNUMBER($H770),ISNUMBER($K770)),MOD($K770-$H770,1),""))</f>
        <v/>
      </c>
      <c r="M770" s="1" t="str">
        <f t="shared" ref="M770:M833" si="58">IF($A770="","",IF(AND(ISNUMBER($I770),ISNUMBER($J770)),MOD($J770-$I770,1),""))</f>
        <v/>
      </c>
      <c r="N770" s="26"/>
      <c r="S770" s="27" t="str">
        <f t="shared" si="54"/>
        <v/>
      </c>
      <c r="T770" s="28" t="str">
        <f t="shared" si="55"/>
        <v/>
      </c>
      <c r="V770" t="str">
        <f t="shared" si="56"/>
        <v/>
      </c>
    </row>
    <row r="771" spans="1:22">
      <c r="A771" s="6"/>
      <c r="H771" s="25"/>
      <c r="I771" s="25"/>
      <c r="J771" s="25"/>
      <c r="K771" s="25"/>
      <c r="L771" s="1" t="str">
        <f t="shared" si="57"/>
        <v/>
      </c>
      <c r="M771" s="1" t="str">
        <f t="shared" si="58"/>
        <v/>
      </c>
      <c r="N771" s="26"/>
      <c r="S771" s="27" t="str">
        <f t="shared" si="54"/>
        <v/>
      </c>
      <c r="T771" s="28" t="str">
        <f t="shared" si="55"/>
        <v/>
      </c>
      <c r="V771" t="str">
        <f t="shared" si="56"/>
        <v/>
      </c>
    </row>
    <row r="772" spans="1:22">
      <c r="A772" s="6"/>
      <c r="H772" s="25"/>
      <c r="I772" s="25"/>
      <c r="J772" s="25"/>
      <c r="K772" s="25"/>
      <c r="L772" s="1" t="str">
        <f t="shared" si="57"/>
        <v/>
      </c>
      <c r="M772" s="1" t="str">
        <f t="shared" si="58"/>
        <v/>
      </c>
      <c r="N772" s="26"/>
      <c r="S772" s="27" t="str">
        <f t="shared" si="54"/>
        <v/>
      </c>
      <c r="T772" s="28" t="str">
        <f t="shared" si="55"/>
        <v/>
      </c>
      <c r="V772" t="str">
        <f t="shared" si="56"/>
        <v/>
      </c>
    </row>
    <row r="773" spans="1:22">
      <c r="A773" s="6"/>
      <c r="H773" s="25"/>
      <c r="I773" s="25"/>
      <c r="J773" s="25"/>
      <c r="K773" s="25"/>
      <c r="L773" s="1" t="str">
        <f t="shared" si="57"/>
        <v/>
      </c>
      <c r="M773" s="1" t="str">
        <f t="shared" si="58"/>
        <v/>
      </c>
      <c r="N773" s="26"/>
      <c r="S773" s="27" t="str">
        <f t="shared" ref="S773:S836" si="59">IF($C773="","",IF($C773="3344",450,IF($C773="5194",320,IF($C773="6606",290,IF($C773="7430",290,IF($C773="8115",2080,IF($C773="8205",450,IF($C773="8441",260,IF($C773="OK-BIC",3060,IF($C773="OK-BID",3060,IF($C773="OK-BIK",2700,IF($C773="OK-BIL",3060,IF($C773="OK-BIN",3060,IF($C773="OK-BIR",3060,IF($C773="OK-BUG12",2150,IF($C773="OK-CUG23",2370,IF($C773="OK-DAS",5600,IF($C773="OK-DOD",4420,IF($C773="OK-DPH",5000,IF($C773="OK-DUI89",2250,IF($C773="OK-DUI94",4000,IF($C773="OK-EUI10",2250,IF($C773="OK-EUI21",4000,IF($C773="OK-IAF",3060,IF($C773="OK-MPK",3820,IF($C773="OK-NUU90",2080,IF($C773="OK-UUR14",2250,IF($C773="OK-WUS17",3500,IF($C773="OK-XAI04",1860,"")))))))))))))))))))))))))))))</f>
        <v/>
      </c>
      <c r="T773" s="28" t="str">
        <f t="shared" si="55"/>
        <v/>
      </c>
      <c r="V773" t="str">
        <f t="shared" si="56"/>
        <v/>
      </c>
    </row>
    <row r="774" spans="1:22">
      <c r="A774" s="6"/>
      <c r="H774" s="25"/>
      <c r="I774" s="25"/>
      <c r="J774" s="25"/>
      <c r="K774" s="25"/>
      <c r="L774" s="1" t="str">
        <f t="shared" si="57"/>
        <v/>
      </c>
      <c r="M774" s="1" t="str">
        <f t="shared" si="58"/>
        <v/>
      </c>
      <c r="N774" s="26"/>
      <c r="S774" s="27" t="str">
        <f t="shared" si="59"/>
        <v/>
      </c>
      <c r="T774" s="28" t="str">
        <f t="shared" si="55"/>
        <v/>
      </c>
      <c r="V774" t="str">
        <f t="shared" si="56"/>
        <v/>
      </c>
    </row>
    <row r="775" spans="1:22">
      <c r="A775" s="6"/>
      <c r="H775" s="25"/>
      <c r="I775" s="25"/>
      <c r="J775" s="25"/>
      <c r="K775" s="25"/>
      <c r="L775" s="1" t="str">
        <f t="shared" si="57"/>
        <v/>
      </c>
      <c r="M775" s="1" t="str">
        <f t="shared" si="58"/>
        <v/>
      </c>
      <c r="N775" s="26"/>
      <c r="S775" s="27" t="str">
        <f t="shared" si="59"/>
        <v/>
      </c>
      <c r="T775" s="28" t="str">
        <f t="shared" si="55"/>
        <v/>
      </c>
      <c r="V775" t="str">
        <f t="shared" si="56"/>
        <v/>
      </c>
    </row>
    <row r="776" spans="1:22">
      <c r="A776" s="6"/>
      <c r="H776" s="25"/>
      <c r="I776" s="25"/>
      <c r="J776" s="25"/>
      <c r="K776" s="25"/>
      <c r="L776" s="1" t="str">
        <f t="shared" si="57"/>
        <v/>
      </c>
      <c r="M776" s="1" t="str">
        <f t="shared" si="58"/>
        <v/>
      </c>
      <c r="N776" s="26"/>
      <c r="S776" s="27" t="str">
        <f t="shared" si="59"/>
        <v/>
      </c>
      <c r="T776" s="28" t="str">
        <f t="shared" si="55"/>
        <v/>
      </c>
      <c r="V776" t="str">
        <f t="shared" si="56"/>
        <v/>
      </c>
    </row>
    <row r="777" spans="1:22">
      <c r="A777" s="6"/>
      <c r="H777" s="25"/>
      <c r="I777" s="25"/>
      <c r="J777" s="25"/>
      <c r="K777" s="25"/>
      <c r="L777" s="1" t="str">
        <f t="shared" si="57"/>
        <v/>
      </c>
      <c r="M777" s="1" t="str">
        <f t="shared" si="58"/>
        <v/>
      </c>
      <c r="N777" s="26"/>
      <c r="S777" s="27" t="str">
        <f t="shared" si="59"/>
        <v/>
      </c>
      <c r="T777" s="28" t="str">
        <f t="shared" si="55"/>
        <v/>
      </c>
      <c r="V777" t="str">
        <f t="shared" si="56"/>
        <v/>
      </c>
    </row>
    <row r="778" spans="1:22">
      <c r="A778" s="6"/>
      <c r="H778" s="25"/>
      <c r="I778" s="25"/>
      <c r="J778" s="25"/>
      <c r="K778" s="25"/>
      <c r="L778" s="1" t="str">
        <f t="shared" si="57"/>
        <v/>
      </c>
      <c r="M778" s="1" t="str">
        <f t="shared" si="58"/>
        <v/>
      </c>
      <c r="N778" s="26"/>
      <c r="S778" s="27" t="str">
        <f t="shared" si="59"/>
        <v/>
      </c>
      <c r="T778" s="28" t="str">
        <f t="shared" si="55"/>
        <v/>
      </c>
      <c r="V778" t="str">
        <f t="shared" si="56"/>
        <v/>
      </c>
    </row>
    <row r="779" spans="1:22">
      <c r="A779" s="6"/>
      <c r="H779" s="25"/>
      <c r="I779" s="25"/>
      <c r="J779" s="25"/>
      <c r="K779" s="25"/>
      <c r="L779" s="1" t="str">
        <f t="shared" si="57"/>
        <v/>
      </c>
      <c r="M779" s="1" t="str">
        <f t="shared" si="58"/>
        <v/>
      </c>
      <c r="N779" s="26"/>
      <c r="S779" s="27" t="str">
        <f t="shared" si="59"/>
        <v/>
      </c>
      <c r="T779" s="28" t="str">
        <f t="shared" si="55"/>
        <v/>
      </c>
      <c r="V779" t="str">
        <f t="shared" si="56"/>
        <v/>
      </c>
    </row>
    <row r="780" spans="1:22">
      <c r="A780" s="6"/>
      <c r="H780" s="25"/>
      <c r="I780" s="25"/>
      <c r="J780" s="25"/>
      <c r="K780" s="25"/>
      <c r="L780" s="1" t="str">
        <f t="shared" si="57"/>
        <v/>
      </c>
      <c r="M780" s="1" t="str">
        <f t="shared" si="58"/>
        <v/>
      </c>
      <c r="N780" s="26"/>
      <c r="S780" s="27" t="str">
        <f t="shared" si="59"/>
        <v/>
      </c>
      <c r="T780" s="28" t="str">
        <f t="shared" si="55"/>
        <v/>
      </c>
      <c r="V780" t="str">
        <f t="shared" si="56"/>
        <v/>
      </c>
    </row>
    <row r="781" spans="1:22">
      <c r="A781" s="6"/>
      <c r="H781" s="25"/>
      <c r="I781" s="25"/>
      <c r="J781" s="25"/>
      <c r="K781" s="25"/>
      <c r="L781" s="1" t="str">
        <f t="shared" si="57"/>
        <v/>
      </c>
      <c r="M781" s="1" t="str">
        <f t="shared" si="58"/>
        <v/>
      </c>
      <c r="N781" s="26"/>
      <c r="S781" s="27" t="str">
        <f t="shared" si="59"/>
        <v/>
      </c>
      <c r="T781" s="28" t="str">
        <f t="shared" si="55"/>
        <v/>
      </c>
      <c r="V781" t="str">
        <f t="shared" si="56"/>
        <v/>
      </c>
    </row>
    <row r="782" spans="1:22">
      <c r="A782" s="6"/>
      <c r="H782" s="25"/>
      <c r="I782" s="25"/>
      <c r="J782" s="25"/>
      <c r="K782" s="25"/>
      <c r="L782" s="1" t="str">
        <f t="shared" si="57"/>
        <v/>
      </c>
      <c r="M782" s="1" t="str">
        <f t="shared" si="58"/>
        <v/>
      </c>
      <c r="N782" s="26"/>
      <c r="S782" s="27" t="str">
        <f t="shared" si="59"/>
        <v/>
      </c>
      <c r="T782" s="28" t="str">
        <f t="shared" si="55"/>
        <v/>
      </c>
      <c r="V782" t="str">
        <f t="shared" si="56"/>
        <v/>
      </c>
    </row>
    <row r="783" spans="1:22">
      <c r="A783" s="6"/>
      <c r="H783" s="25"/>
      <c r="I783" s="25"/>
      <c r="J783" s="25"/>
      <c r="K783" s="25"/>
      <c r="L783" s="1" t="str">
        <f t="shared" si="57"/>
        <v/>
      </c>
      <c r="M783" s="1" t="str">
        <f t="shared" si="58"/>
        <v/>
      </c>
      <c r="N783" s="26"/>
      <c r="S783" s="27" t="str">
        <f t="shared" si="59"/>
        <v/>
      </c>
      <c r="T783" s="28" t="str">
        <f t="shared" si="55"/>
        <v/>
      </c>
      <c r="V783" t="str">
        <f t="shared" si="56"/>
        <v/>
      </c>
    </row>
    <row r="784" spans="1:22">
      <c r="A784" s="6"/>
      <c r="H784" s="25"/>
      <c r="I784" s="25"/>
      <c r="J784" s="25"/>
      <c r="K784" s="25"/>
      <c r="L784" s="1" t="str">
        <f t="shared" si="57"/>
        <v/>
      </c>
      <c r="M784" s="1" t="str">
        <f t="shared" si="58"/>
        <v/>
      </c>
      <c r="N784" s="26"/>
      <c r="S784" s="27" t="str">
        <f t="shared" si="59"/>
        <v/>
      </c>
      <c r="T784" s="28" t="str">
        <f t="shared" si="55"/>
        <v/>
      </c>
      <c r="V784" t="str">
        <f t="shared" si="56"/>
        <v/>
      </c>
    </row>
    <row r="785" spans="1:22">
      <c r="A785" s="6"/>
      <c r="H785" s="25"/>
      <c r="I785" s="25"/>
      <c r="J785" s="25"/>
      <c r="K785" s="25"/>
      <c r="L785" s="1" t="str">
        <f t="shared" si="57"/>
        <v/>
      </c>
      <c r="M785" s="1" t="str">
        <f t="shared" si="58"/>
        <v/>
      </c>
      <c r="N785" s="26"/>
      <c r="S785" s="27" t="str">
        <f t="shared" si="59"/>
        <v/>
      </c>
      <c r="T785" s="28" t="str">
        <f t="shared" si="55"/>
        <v/>
      </c>
      <c r="V785" t="str">
        <f t="shared" si="56"/>
        <v/>
      </c>
    </row>
    <row r="786" spans="1:22">
      <c r="A786" s="6"/>
      <c r="H786" s="25"/>
      <c r="I786" s="25"/>
      <c r="J786" s="25"/>
      <c r="K786" s="25"/>
      <c r="L786" s="1" t="str">
        <f t="shared" si="57"/>
        <v/>
      </c>
      <c r="M786" s="1" t="str">
        <f t="shared" si="58"/>
        <v/>
      </c>
      <c r="N786" s="26"/>
      <c r="S786" s="27" t="str">
        <f t="shared" si="59"/>
        <v/>
      </c>
      <c r="T786" s="28" t="str">
        <f t="shared" si="55"/>
        <v/>
      </c>
      <c r="V786" t="str">
        <f t="shared" si="56"/>
        <v/>
      </c>
    </row>
    <row r="787" spans="1:22">
      <c r="A787" s="6"/>
      <c r="H787" s="25"/>
      <c r="I787" s="25"/>
      <c r="J787" s="25"/>
      <c r="K787" s="25"/>
      <c r="L787" s="1" t="str">
        <f t="shared" si="57"/>
        <v/>
      </c>
      <c r="M787" s="1" t="str">
        <f t="shared" si="58"/>
        <v/>
      </c>
      <c r="N787" s="26"/>
      <c r="S787" s="27" t="str">
        <f t="shared" si="59"/>
        <v/>
      </c>
      <c r="T787" s="28" t="str">
        <f t="shared" si="55"/>
        <v/>
      </c>
      <c r="V787" t="str">
        <f t="shared" si="56"/>
        <v/>
      </c>
    </row>
    <row r="788" spans="1:22">
      <c r="A788" s="6"/>
      <c r="H788" s="25"/>
      <c r="I788" s="25"/>
      <c r="J788" s="25"/>
      <c r="K788" s="25"/>
      <c r="L788" s="1" t="str">
        <f t="shared" si="57"/>
        <v/>
      </c>
      <c r="M788" s="1" t="str">
        <f t="shared" si="58"/>
        <v/>
      </c>
      <c r="N788" s="26"/>
      <c r="S788" s="27" t="str">
        <f t="shared" si="59"/>
        <v/>
      </c>
      <c r="T788" s="28" t="str">
        <f t="shared" ref="T788:T851" si="60">IF($A788="","",IF(OR($S788="", $S788&lt;=0, $L788=""),"",ROUND($L788*24*$S788,2)))</f>
        <v/>
      </c>
      <c r="V788" t="str">
        <f t="shared" ref="V788:V851" si="61">IF($A788="","",IF(OR(YEAR($A788)&lt;2020,YEAR($A788)&gt;2030),"Podezřelé datum",IF(OR($F788="",$G788=""),"Chybí letiště",IF(OR($H788="",$I788="",$J788="",$K788=""),"Chybí čas",IF(OR($H788&gt;$I788,$I788&gt;$J788,$J788&gt;$K788),"Časy mimo pořadí",IF($M788&gt;$L788,"Air &gt; Block",IF(OR($S788="", $S788&lt;=0),"Chybí sazba","OK")))))))</f>
        <v/>
      </c>
    </row>
    <row r="789" spans="1:22">
      <c r="A789" s="6"/>
      <c r="H789" s="25"/>
      <c r="I789" s="25"/>
      <c r="J789" s="25"/>
      <c r="K789" s="25"/>
      <c r="L789" s="1" t="str">
        <f t="shared" si="57"/>
        <v/>
      </c>
      <c r="M789" s="1" t="str">
        <f t="shared" si="58"/>
        <v/>
      </c>
      <c r="N789" s="26"/>
      <c r="S789" s="27" t="str">
        <f t="shared" si="59"/>
        <v/>
      </c>
      <c r="T789" s="28" t="str">
        <f t="shared" si="60"/>
        <v/>
      </c>
      <c r="V789" t="str">
        <f t="shared" si="61"/>
        <v/>
      </c>
    </row>
    <row r="790" spans="1:22">
      <c r="A790" s="6"/>
      <c r="H790" s="25"/>
      <c r="I790" s="25"/>
      <c r="J790" s="25"/>
      <c r="K790" s="25"/>
      <c r="L790" s="1" t="str">
        <f t="shared" si="57"/>
        <v/>
      </c>
      <c r="M790" s="1" t="str">
        <f t="shared" si="58"/>
        <v/>
      </c>
      <c r="N790" s="26"/>
      <c r="S790" s="27" t="str">
        <f t="shared" si="59"/>
        <v/>
      </c>
      <c r="T790" s="28" t="str">
        <f t="shared" si="60"/>
        <v/>
      </c>
      <c r="V790" t="str">
        <f t="shared" si="61"/>
        <v/>
      </c>
    </row>
    <row r="791" spans="1:22">
      <c r="A791" s="6"/>
      <c r="H791" s="25"/>
      <c r="I791" s="25"/>
      <c r="J791" s="25"/>
      <c r="K791" s="25"/>
      <c r="L791" s="1" t="str">
        <f t="shared" si="57"/>
        <v/>
      </c>
      <c r="M791" s="1" t="str">
        <f t="shared" si="58"/>
        <v/>
      </c>
      <c r="N791" s="26"/>
      <c r="S791" s="27" t="str">
        <f t="shared" si="59"/>
        <v/>
      </c>
      <c r="T791" s="28" t="str">
        <f t="shared" si="60"/>
        <v/>
      </c>
      <c r="V791" t="str">
        <f t="shared" si="61"/>
        <v/>
      </c>
    </row>
    <row r="792" spans="1:22">
      <c r="A792" s="6"/>
      <c r="H792" s="25"/>
      <c r="I792" s="25"/>
      <c r="J792" s="25"/>
      <c r="K792" s="25"/>
      <c r="L792" s="1" t="str">
        <f t="shared" si="57"/>
        <v/>
      </c>
      <c r="M792" s="1" t="str">
        <f t="shared" si="58"/>
        <v/>
      </c>
      <c r="N792" s="26"/>
      <c r="S792" s="27" t="str">
        <f t="shared" si="59"/>
        <v/>
      </c>
      <c r="T792" s="28" t="str">
        <f t="shared" si="60"/>
        <v/>
      </c>
      <c r="V792" t="str">
        <f t="shared" si="61"/>
        <v/>
      </c>
    </row>
    <row r="793" spans="1:22">
      <c r="A793" s="6"/>
      <c r="H793" s="25"/>
      <c r="I793" s="25"/>
      <c r="J793" s="25"/>
      <c r="K793" s="25"/>
      <c r="L793" s="1" t="str">
        <f t="shared" si="57"/>
        <v/>
      </c>
      <c r="M793" s="1" t="str">
        <f t="shared" si="58"/>
        <v/>
      </c>
      <c r="N793" s="26"/>
      <c r="S793" s="27" t="str">
        <f t="shared" si="59"/>
        <v/>
      </c>
      <c r="T793" s="28" t="str">
        <f t="shared" si="60"/>
        <v/>
      </c>
      <c r="V793" t="str">
        <f t="shared" si="61"/>
        <v/>
      </c>
    </row>
    <row r="794" spans="1:22">
      <c r="A794" s="6"/>
      <c r="H794" s="25"/>
      <c r="I794" s="25"/>
      <c r="J794" s="25"/>
      <c r="K794" s="25"/>
      <c r="L794" s="1" t="str">
        <f t="shared" si="57"/>
        <v/>
      </c>
      <c r="M794" s="1" t="str">
        <f t="shared" si="58"/>
        <v/>
      </c>
      <c r="N794" s="26"/>
      <c r="S794" s="27" t="str">
        <f t="shared" si="59"/>
        <v/>
      </c>
      <c r="T794" s="28" t="str">
        <f t="shared" si="60"/>
        <v/>
      </c>
      <c r="V794" t="str">
        <f t="shared" si="61"/>
        <v/>
      </c>
    </row>
    <row r="795" spans="1:22">
      <c r="A795" s="6"/>
      <c r="H795" s="25"/>
      <c r="I795" s="25"/>
      <c r="J795" s="25"/>
      <c r="K795" s="25"/>
      <c r="L795" s="1" t="str">
        <f t="shared" si="57"/>
        <v/>
      </c>
      <c r="M795" s="1" t="str">
        <f t="shared" si="58"/>
        <v/>
      </c>
      <c r="N795" s="26"/>
      <c r="S795" s="27" t="str">
        <f t="shared" si="59"/>
        <v/>
      </c>
      <c r="T795" s="28" t="str">
        <f t="shared" si="60"/>
        <v/>
      </c>
      <c r="V795" t="str">
        <f t="shared" si="61"/>
        <v/>
      </c>
    </row>
    <row r="796" spans="1:22">
      <c r="A796" s="6"/>
      <c r="H796" s="25"/>
      <c r="I796" s="25"/>
      <c r="J796" s="25"/>
      <c r="K796" s="25"/>
      <c r="L796" s="1" t="str">
        <f t="shared" si="57"/>
        <v/>
      </c>
      <c r="M796" s="1" t="str">
        <f t="shared" si="58"/>
        <v/>
      </c>
      <c r="N796" s="26"/>
      <c r="S796" s="27" t="str">
        <f t="shared" si="59"/>
        <v/>
      </c>
      <c r="T796" s="28" t="str">
        <f t="shared" si="60"/>
        <v/>
      </c>
      <c r="V796" t="str">
        <f t="shared" si="61"/>
        <v/>
      </c>
    </row>
    <row r="797" spans="1:22">
      <c r="A797" s="6"/>
      <c r="H797" s="25"/>
      <c r="I797" s="25"/>
      <c r="J797" s="25"/>
      <c r="K797" s="25"/>
      <c r="L797" s="1" t="str">
        <f t="shared" si="57"/>
        <v/>
      </c>
      <c r="M797" s="1" t="str">
        <f t="shared" si="58"/>
        <v/>
      </c>
      <c r="N797" s="26"/>
      <c r="S797" s="27" t="str">
        <f t="shared" si="59"/>
        <v/>
      </c>
      <c r="T797" s="28" t="str">
        <f t="shared" si="60"/>
        <v/>
      </c>
      <c r="V797" t="str">
        <f t="shared" si="61"/>
        <v/>
      </c>
    </row>
    <row r="798" spans="1:22">
      <c r="A798" s="6"/>
      <c r="H798" s="25"/>
      <c r="I798" s="25"/>
      <c r="J798" s="25"/>
      <c r="K798" s="25"/>
      <c r="L798" s="1" t="str">
        <f t="shared" si="57"/>
        <v/>
      </c>
      <c r="M798" s="1" t="str">
        <f t="shared" si="58"/>
        <v/>
      </c>
      <c r="N798" s="26"/>
      <c r="S798" s="27" t="str">
        <f t="shared" si="59"/>
        <v/>
      </c>
      <c r="T798" s="28" t="str">
        <f t="shared" si="60"/>
        <v/>
      </c>
      <c r="V798" t="str">
        <f t="shared" si="61"/>
        <v/>
      </c>
    </row>
    <row r="799" spans="1:22">
      <c r="A799" s="6"/>
      <c r="H799" s="25"/>
      <c r="I799" s="25"/>
      <c r="J799" s="25"/>
      <c r="K799" s="25"/>
      <c r="L799" s="1" t="str">
        <f t="shared" si="57"/>
        <v/>
      </c>
      <c r="M799" s="1" t="str">
        <f t="shared" si="58"/>
        <v/>
      </c>
      <c r="N799" s="26"/>
      <c r="S799" s="27" t="str">
        <f t="shared" si="59"/>
        <v/>
      </c>
      <c r="T799" s="28" t="str">
        <f t="shared" si="60"/>
        <v/>
      </c>
      <c r="V799" t="str">
        <f t="shared" si="61"/>
        <v/>
      </c>
    </row>
    <row r="800" spans="1:22">
      <c r="A800" s="6"/>
      <c r="H800" s="25"/>
      <c r="I800" s="25"/>
      <c r="J800" s="25"/>
      <c r="K800" s="25"/>
      <c r="L800" s="1" t="str">
        <f t="shared" si="57"/>
        <v/>
      </c>
      <c r="M800" s="1" t="str">
        <f t="shared" si="58"/>
        <v/>
      </c>
      <c r="N800" s="26"/>
      <c r="S800" s="27" t="str">
        <f t="shared" si="59"/>
        <v/>
      </c>
      <c r="T800" s="28" t="str">
        <f t="shared" si="60"/>
        <v/>
      </c>
      <c r="V800" t="str">
        <f t="shared" si="61"/>
        <v/>
      </c>
    </row>
    <row r="801" spans="1:22">
      <c r="A801" s="6"/>
      <c r="H801" s="25"/>
      <c r="I801" s="25"/>
      <c r="J801" s="25"/>
      <c r="K801" s="25"/>
      <c r="L801" s="1" t="str">
        <f t="shared" si="57"/>
        <v/>
      </c>
      <c r="M801" s="1" t="str">
        <f t="shared" si="58"/>
        <v/>
      </c>
      <c r="N801" s="26"/>
      <c r="S801" s="27" t="str">
        <f t="shared" si="59"/>
        <v/>
      </c>
      <c r="T801" s="28" t="str">
        <f t="shared" si="60"/>
        <v/>
      </c>
      <c r="V801" t="str">
        <f t="shared" si="61"/>
        <v/>
      </c>
    </row>
    <row r="802" spans="1:22">
      <c r="A802" s="6"/>
      <c r="H802" s="25"/>
      <c r="I802" s="25"/>
      <c r="J802" s="25"/>
      <c r="K802" s="25"/>
      <c r="L802" s="1" t="str">
        <f t="shared" si="57"/>
        <v/>
      </c>
      <c r="M802" s="1" t="str">
        <f t="shared" si="58"/>
        <v/>
      </c>
      <c r="N802" s="26"/>
      <c r="S802" s="27" t="str">
        <f t="shared" si="59"/>
        <v/>
      </c>
      <c r="T802" s="28" t="str">
        <f t="shared" si="60"/>
        <v/>
      </c>
      <c r="V802" t="str">
        <f t="shared" si="61"/>
        <v/>
      </c>
    </row>
    <row r="803" spans="1:22">
      <c r="A803" s="6"/>
      <c r="H803" s="25"/>
      <c r="I803" s="25"/>
      <c r="J803" s="25"/>
      <c r="K803" s="25"/>
      <c r="L803" s="1" t="str">
        <f t="shared" si="57"/>
        <v/>
      </c>
      <c r="M803" s="1" t="str">
        <f t="shared" si="58"/>
        <v/>
      </c>
      <c r="N803" s="26"/>
      <c r="S803" s="27" t="str">
        <f t="shared" si="59"/>
        <v/>
      </c>
      <c r="T803" s="28" t="str">
        <f t="shared" si="60"/>
        <v/>
      </c>
      <c r="V803" t="str">
        <f t="shared" si="61"/>
        <v/>
      </c>
    </row>
    <row r="804" spans="1:22">
      <c r="A804" s="6"/>
      <c r="H804" s="25"/>
      <c r="I804" s="25"/>
      <c r="J804" s="25"/>
      <c r="K804" s="25"/>
      <c r="L804" s="1" t="str">
        <f t="shared" si="57"/>
        <v/>
      </c>
      <c r="M804" s="1" t="str">
        <f t="shared" si="58"/>
        <v/>
      </c>
      <c r="N804" s="26"/>
      <c r="S804" s="27" t="str">
        <f t="shared" si="59"/>
        <v/>
      </c>
      <c r="T804" s="28" t="str">
        <f t="shared" si="60"/>
        <v/>
      </c>
      <c r="V804" t="str">
        <f t="shared" si="61"/>
        <v/>
      </c>
    </row>
    <row r="805" spans="1:22">
      <c r="A805" s="6"/>
      <c r="H805" s="25"/>
      <c r="I805" s="25"/>
      <c r="J805" s="25"/>
      <c r="K805" s="25"/>
      <c r="L805" s="1" t="str">
        <f t="shared" si="57"/>
        <v/>
      </c>
      <c r="M805" s="1" t="str">
        <f t="shared" si="58"/>
        <v/>
      </c>
      <c r="N805" s="26"/>
      <c r="S805" s="27" t="str">
        <f t="shared" si="59"/>
        <v/>
      </c>
      <c r="T805" s="28" t="str">
        <f t="shared" si="60"/>
        <v/>
      </c>
      <c r="V805" t="str">
        <f t="shared" si="61"/>
        <v/>
      </c>
    </row>
    <row r="806" spans="1:22">
      <c r="A806" s="6"/>
      <c r="H806" s="25"/>
      <c r="I806" s="25"/>
      <c r="J806" s="25"/>
      <c r="K806" s="25"/>
      <c r="L806" s="1" t="str">
        <f t="shared" si="57"/>
        <v/>
      </c>
      <c r="M806" s="1" t="str">
        <f t="shared" si="58"/>
        <v/>
      </c>
      <c r="N806" s="26"/>
      <c r="S806" s="27" t="str">
        <f t="shared" si="59"/>
        <v/>
      </c>
      <c r="T806" s="28" t="str">
        <f t="shared" si="60"/>
        <v/>
      </c>
      <c r="V806" t="str">
        <f t="shared" si="61"/>
        <v/>
      </c>
    </row>
    <row r="807" spans="1:22">
      <c r="A807" s="6"/>
      <c r="H807" s="25"/>
      <c r="I807" s="25"/>
      <c r="J807" s="25"/>
      <c r="K807" s="25"/>
      <c r="L807" s="1" t="str">
        <f t="shared" si="57"/>
        <v/>
      </c>
      <c r="M807" s="1" t="str">
        <f t="shared" si="58"/>
        <v/>
      </c>
      <c r="N807" s="26"/>
      <c r="S807" s="27" t="str">
        <f t="shared" si="59"/>
        <v/>
      </c>
      <c r="T807" s="28" t="str">
        <f t="shared" si="60"/>
        <v/>
      </c>
      <c r="V807" t="str">
        <f t="shared" si="61"/>
        <v/>
      </c>
    </row>
    <row r="808" spans="1:22">
      <c r="A808" s="6"/>
      <c r="H808" s="25"/>
      <c r="I808" s="25"/>
      <c r="J808" s="25"/>
      <c r="K808" s="25"/>
      <c r="L808" s="1" t="str">
        <f t="shared" si="57"/>
        <v/>
      </c>
      <c r="M808" s="1" t="str">
        <f t="shared" si="58"/>
        <v/>
      </c>
      <c r="N808" s="26"/>
      <c r="S808" s="27" t="str">
        <f t="shared" si="59"/>
        <v/>
      </c>
      <c r="T808" s="28" t="str">
        <f t="shared" si="60"/>
        <v/>
      </c>
      <c r="V808" t="str">
        <f t="shared" si="61"/>
        <v/>
      </c>
    </row>
    <row r="809" spans="1:22">
      <c r="A809" s="6"/>
      <c r="H809" s="25"/>
      <c r="I809" s="25"/>
      <c r="J809" s="25"/>
      <c r="K809" s="25"/>
      <c r="L809" s="1" t="str">
        <f t="shared" si="57"/>
        <v/>
      </c>
      <c r="M809" s="1" t="str">
        <f t="shared" si="58"/>
        <v/>
      </c>
      <c r="N809" s="26"/>
      <c r="S809" s="27" t="str">
        <f t="shared" si="59"/>
        <v/>
      </c>
      <c r="T809" s="28" t="str">
        <f t="shared" si="60"/>
        <v/>
      </c>
      <c r="V809" t="str">
        <f t="shared" si="61"/>
        <v/>
      </c>
    </row>
    <row r="810" spans="1:22">
      <c r="A810" s="6"/>
      <c r="H810" s="25"/>
      <c r="I810" s="25"/>
      <c r="J810" s="25"/>
      <c r="K810" s="25"/>
      <c r="L810" s="1" t="str">
        <f t="shared" si="57"/>
        <v/>
      </c>
      <c r="M810" s="1" t="str">
        <f t="shared" si="58"/>
        <v/>
      </c>
      <c r="N810" s="26"/>
      <c r="S810" s="27" t="str">
        <f t="shared" si="59"/>
        <v/>
      </c>
      <c r="T810" s="28" t="str">
        <f t="shared" si="60"/>
        <v/>
      </c>
      <c r="V810" t="str">
        <f t="shared" si="61"/>
        <v/>
      </c>
    </row>
    <row r="811" spans="1:22">
      <c r="A811" s="6"/>
      <c r="H811" s="25"/>
      <c r="I811" s="25"/>
      <c r="J811" s="25"/>
      <c r="K811" s="25"/>
      <c r="L811" s="1" t="str">
        <f t="shared" si="57"/>
        <v/>
      </c>
      <c r="M811" s="1" t="str">
        <f t="shared" si="58"/>
        <v/>
      </c>
      <c r="N811" s="26"/>
      <c r="S811" s="27" t="str">
        <f t="shared" si="59"/>
        <v/>
      </c>
      <c r="T811" s="28" t="str">
        <f t="shared" si="60"/>
        <v/>
      </c>
      <c r="V811" t="str">
        <f t="shared" si="61"/>
        <v/>
      </c>
    </row>
    <row r="812" spans="1:22">
      <c r="A812" s="6"/>
      <c r="H812" s="25"/>
      <c r="I812" s="25"/>
      <c r="J812" s="25"/>
      <c r="K812" s="25"/>
      <c r="L812" s="1" t="str">
        <f t="shared" si="57"/>
        <v/>
      </c>
      <c r="M812" s="1" t="str">
        <f t="shared" si="58"/>
        <v/>
      </c>
      <c r="N812" s="26"/>
      <c r="S812" s="27" t="str">
        <f t="shared" si="59"/>
        <v/>
      </c>
      <c r="T812" s="28" t="str">
        <f t="shared" si="60"/>
        <v/>
      </c>
      <c r="V812" t="str">
        <f t="shared" si="61"/>
        <v/>
      </c>
    </row>
    <row r="813" spans="1:22">
      <c r="A813" s="6"/>
      <c r="H813" s="25"/>
      <c r="I813" s="25"/>
      <c r="J813" s="25"/>
      <c r="K813" s="25"/>
      <c r="L813" s="1" t="str">
        <f t="shared" si="57"/>
        <v/>
      </c>
      <c r="M813" s="1" t="str">
        <f t="shared" si="58"/>
        <v/>
      </c>
      <c r="N813" s="26"/>
      <c r="S813" s="27" t="str">
        <f t="shared" si="59"/>
        <v/>
      </c>
      <c r="T813" s="28" t="str">
        <f t="shared" si="60"/>
        <v/>
      </c>
      <c r="V813" t="str">
        <f t="shared" si="61"/>
        <v/>
      </c>
    </row>
    <row r="814" spans="1:22">
      <c r="A814" s="6"/>
      <c r="H814" s="25"/>
      <c r="I814" s="25"/>
      <c r="J814" s="25"/>
      <c r="K814" s="25"/>
      <c r="L814" s="1" t="str">
        <f t="shared" si="57"/>
        <v/>
      </c>
      <c r="M814" s="1" t="str">
        <f t="shared" si="58"/>
        <v/>
      </c>
      <c r="N814" s="26"/>
      <c r="S814" s="27" t="str">
        <f t="shared" si="59"/>
        <v/>
      </c>
      <c r="T814" s="28" t="str">
        <f t="shared" si="60"/>
        <v/>
      </c>
      <c r="V814" t="str">
        <f t="shared" si="61"/>
        <v/>
      </c>
    </row>
    <row r="815" spans="1:22">
      <c r="A815" s="6"/>
      <c r="H815" s="25"/>
      <c r="I815" s="25"/>
      <c r="J815" s="25"/>
      <c r="K815" s="25"/>
      <c r="L815" s="1" t="str">
        <f t="shared" si="57"/>
        <v/>
      </c>
      <c r="M815" s="1" t="str">
        <f t="shared" si="58"/>
        <v/>
      </c>
      <c r="N815" s="26"/>
      <c r="S815" s="27" t="str">
        <f t="shared" si="59"/>
        <v/>
      </c>
      <c r="T815" s="28" t="str">
        <f t="shared" si="60"/>
        <v/>
      </c>
      <c r="V815" t="str">
        <f t="shared" si="61"/>
        <v/>
      </c>
    </row>
    <row r="816" spans="1:22">
      <c r="A816" s="6"/>
      <c r="H816" s="25"/>
      <c r="I816" s="25"/>
      <c r="J816" s="25"/>
      <c r="K816" s="25"/>
      <c r="L816" s="1" t="str">
        <f t="shared" si="57"/>
        <v/>
      </c>
      <c r="M816" s="1" t="str">
        <f t="shared" si="58"/>
        <v/>
      </c>
      <c r="N816" s="26"/>
      <c r="S816" s="27" t="str">
        <f t="shared" si="59"/>
        <v/>
      </c>
      <c r="T816" s="28" t="str">
        <f t="shared" si="60"/>
        <v/>
      </c>
      <c r="V816" t="str">
        <f t="shared" si="61"/>
        <v/>
      </c>
    </row>
    <row r="817" spans="1:22">
      <c r="A817" s="6"/>
      <c r="H817" s="25"/>
      <c r="I817" s="25"/>
      <c r="J817" s="25"/>
      <c r="K817" s="25"/>
      <c r="L817" s="1" t="str">
        <f t="shared" si="57"/>
        <v/>
      </c>
      <c r="M817" s="1" t="str">
        <f t="shared" si="58"/>
        <v/>
      </c>
      <c r="N817" s="26"/>
      <c r="S817" s="27" t="str">
        <f t="shared" si="59"/>
        <v/>
      </c>
      <c r="T817" s="28" t="str">
        <f t="shared" si="60"/>
        <v/>
      </c>
      <c r="V817" t="str">
        <f t="shared" si="61"/>
        <v/>
      </c>
    </row>
    <row r="818" spans="1:22">
      <c r="A818" s="6"/>
      <c r="H818" s="25"/>
      <c r="I818" s="25"/>
      <c r="J818" s="25"/>
      <c r="K818" s="25"/>
      <c r="L818" s="1" t="str">
        <f t="shared" si="57"/>
        <v/>
      </c>
      <c r="M818" s="1" t="str">
        <f t="shared" si="58"/>
        <v/>
      </c>
      <c r="N818" s="26"/>
      <c r="S818" s="27" t="str">
        <f t="shared" si="59"/>
        <v/>
      </c>
      <c r="T818" s="28" t="str">
        <f t="shared" si="60"/>
        <v/>
      </c>
      <c r="V818" t="str">
        <f t="shared" si="61"/>
        <v/>
      </c>
    </row>
    <row r="819" spans="1:22">
      <c r="A819" s="6"/>
      <c r="H819" s="25"/>
      <c r="I819" s="25"/>
      <c r="J819" s="25"/>
      <c r="K819" s="25"/>
      <c r="L819" s="1" t="str">
        <f t="shared" si="57"/>
        <v/>
      </c>
      <c r="M819" s="1" t="str">
        <f t="shared" si="58"/>
        <v/>
      </c>
      <c r="N819" s="26"/>
      <c r="S819" s="27" t="str">
        <f t="shared" si="59"/>
        <v/>
      </c>
      <c r="T819" s="28" t="str">
        <f t="shared" si="60"/>
        <v/>
      </c>
      <c r="V819" t="str">
        <f t="shared" si="61"/>
        <v/>
      </c>
    </row>
    <row r="820" spans="1:22">
      <c r="A820" s="6"/>
      <c r="H820" s="25"/>
      <c r="I820" s="25"/>
      <c r="J820" s="25"/>
      <c r="K820" s="25"/>
      <c r="L820" s="1" t="str">
        <f t="shared" si="57"/>
        <v/>
      </c>
      <c r="M820" s="1" t="str">
        <f t="shared" si="58"/>
        <v/>
      </c>
      <c r="N820" s="26"/>
      <c r="S820" s="27" t="str">
        <f t="shared" si="59"/>
        <v/>
      </c>
      <c r="T820" s="28" t="str">
        <f t="shared" si="60"/>
        <v/>
      </c>
      <c r="V820" t="str">
        <f t="shared" si="61"/>
        <v/>
      </c>
    </row>
    <row r="821" spans="1:22">
      <c r="A821" s="6"/>
      <c r="H821" s="25"/>
      <c r="I821" s="25"/>
      <c r="J821" s="25"/>
      <c r="K821" s="25"/>
      <c r="L821" s="1" t="str">
        <f t="shared" si="57"/>
        <v/>
      </c>
      <c r="M821" s="1" t="str">
        <f t="shared" si="58"/>
        <v/>
      </c>
      <c r="N821" s="26"/>
      <c r="S821" s="27" t="str">
        <f t="shared" si="59"/>
        <v/>
      </c>
      <c r="T821" s="28" t="str">
        <f t="shared" si="60"/>
        <v/>
      </c>
      <c r="V821" t="str">
        <f t="shared" si="61"/>
        <v/>
      </c>
    </row>
    <row r="822" spans="1:22">
      <c r="A822" s="6"/>
      <c r="H822" s="25"/>
      <c r="I822" s="25"/>
      <c r="J822" s="25"/>
      <c r="K822" s="25"/>
      <c r="L822" s="1" t="str">
        <f t="shared" si="57"/>
        <v/>
      </c>
      <c r="M822" s="1" t="str">
        <f t="shared" si="58"/>
        <v/>
      </c>
      <c r="N822" s="26"/>
      <c r="S822" s="27" t="str">
        <f t="shared" si="59"/>
        <v/>
      </c>
      <c r="T822" s="28" t="str">
        <f t="shared" si="60"/>
        <v/>
      </c>
      <c r="V822" t="str">
        <f t="shared" si="61"/>
        <v/>
      </c>
    </row>
    <row r="823" spans="1:22">
      <c r="A823" s="6"/>
      <c r="H823" s="25"/>
      <c r="I823" s="25"/>
      <c r="J823" s="25"/>
      <c r="K823" s="25"/>
      <c r="L823" s="1" t="str">
        <f t="shared" si="57"/>
        <v/>
      </c>
      <c r="M823" s="1" t="str">
        <f t="shared" si="58"/>
        <v/>
      </c>
      <c r="N823" s="26"/>
      <c r="S823" s="27" t="str">
        <f t="shared" si="59"/>
        <v/>
      </c>
      <c r="T823" s="28" t="str">
        <f t="shared" si="60"/>
        <v/>
      </c>
      <c r="V823" t="str">
        <f t="shared" si="61"/>
        <v/>
      </c>
    </row>
    <row r="824" spans="1:22">
      <c r="A824" s="6"/>
      <c r="H824" s="25"/>
      <c r="I824" s="25"/>
      <c r="J824" s="25"/>
      <c r="K824" s="25"/>
      <c r="L824" s="1" t="str">
        <f t="shared" si="57"/>
        <v/>
      </c>
      <c r="M824" s="1" t="str">
        <f t="shared" si="58"/>
        <v/>
      </c>
      <c r="N824" s="26"/>
      <c r="S824" s="27" t="str">
        <f t="shared" si="59"/>
        <v/>
      </c>
      <c r="T824" s="28" t="str">
        <f t="shared" si="60"/>
        <v/>
      </c>
      <c r="V824" t="str">
        <f t="shared" si="61"/>
        <v/>
      </c>
    </row>
    <row r="825" spans="1:22">
      <c r="A825" s="6"/>
      <c r="H825" s="25"/>
      <c r="I825" s="25"/>
      <c r="J825" s="25"/>
      <c r="K825" s="25"/>
      <c r="L825" s="1" t="str">
        <f t="shared" si="57"/>
        <v/>
      </c>
      <c r="M825" s="1" t="str">
        <f t="shared" si="58"/>
        <v/>
      </c>
      <c r="N825" s="26"/>
      <c r="S825" s="27" t="str">
        <f t="shared" si="59"/>
        <v/>
      </c>
      <c r="T825" s="28" t="str">
        <f t="shared" si="60"/>
        <v/>
      </c>
      <c r="V825" t="str">
        <f t="shared" si="61"/>
        <v/>
      </c>
    </row>
    <row r="826" spans="1:22">
      <c r="A826" s="6"/>
      <c r="H826" s="25"/>
      <c r="I826" s="25"/>
      <c r="J826" s="25"/>
      <c r="K826" s="25"/>
      <c r="L826" s="1" t="str">
        <f t="shared" si="57"/>
        <v/>
      </c>
      <c r="M826" s="1" t="str">
        <f t="shared" si="58"/>
        <v/>
      </c>
      <c r="N826" s="26"/>
      <c r="S826" s="27" t="str">
        <f t="shared" si="59"/>
        <v/>
      </c>
      <c r="T826" s="28" t="str">
        <f t="shared" si="60"/>
        <v/>
      </c>
      <c r="V826" t="str">
        <f t="shared" si="61"/>
        <v/>
      </c>
    </row>
    <row r="827" spans="1:22">
      <c r="A827" s="6"/>
      <c r="H827" s="25"/>
      <c r="I827" s="25"/>
      <c r="J827" s="25"/>
      <c r="K827" s="25"/>
      <c r="L827" s="1" t="str">
        <f t="shared" si="57"/>
        <v/>
      </c>
      <c r="M827" s="1" t="str">
        <f t="shared" si="58"/>
        <v/>
      </c>
      <c r="N827" s="26"/>
      <c r="S827" s="27" t="str">
        <f t="shared" si="59"/>
        <v/>
      </c>
      <c r="T827" s="28" t="str">
        <f t="shared" si="60"/>
        <v/>
      </c>
      <c r="V827" t="str">
        <f t="shared" si="61"/>
        <v/>
      </c>
    </row>
    <row r="828" spans="1:22">
      <c r="A828" s="6"/>
      <c r="H828" s="25"/>
      <c r="I828" s="25"/>
      <c r="J828" s="25"/>
      <c r="K828" s="25"/>
      <c r="L828" s="1" t="str">
        <f t="shared" si="57"/>
        <v/>
      </c>
      <c r="M828" s="1" t="str">
        <f t="shared" si="58"/>
        <v/>
      </c>
      <c r="N828" s="26"/>
      <c r="S828" s="27" t="str">
        <f t="shared" si="59"/>
        <v/>
      </c>
      <c r="T828" s="28" t="str">
        <f t="shared" si="60"/>
        <v/>
      </c>
      <c r="V828" t="str">
        <f t="shared" si="61"/>
        <v/>
      </c>
    </row>
    <row r="829" spans="1:22">
      <c r="A829" s="6"/>
      <c r="H829" s="25"/>
      <c r="I829" s="25"/>
      <c r="J829" s="25"/>
      <c r="K829" s="25"/>
      <c r="L829" s="1" t="str">
        <f t="shared" si="57"/>
        <v/>
      </c>
      <c r="M829" s="1" t="str">
        <f t="shared" si="58"/>
        <v/>
      </c>
      <c r="N829" s="26"/>
      <c r="S829" s="27" t="str">
        <f t="shared" si="59"/>
        <v/>
      </c>
      <c r="T829" s="28" t="str">
        <f t="shared" si="60"/>
        <v/>
      </c>
      <c r="V829" t="str">
        <f t="shared" si="61"/>
        <v/>
      </c>
    </row>
    <row r="830" spans="1:22">
      <c r="A830" s="6"/>
      <c r="H830" s="25"/>
      <c r="I830" s="25"/>
      <c r="J830" s="25"/>
      <c r="K830" s="25"/>
      <c r="L830" s="1" t="str">
        <f t="shared" si="57"/>
        <v/>
      </c>
      <c r="M830" s="1" t="str">
        <f t="shared" si="58"/>
        <v/>
      </c>
      <c r="N830" s="26"/>
      <c r="S830" s="27" t="str">
        <f t="shared" si="59"/>
        <v/>
      </c>
      <c r="T830" s="28" t="str">
        <f t="shared" si="60"/>
        <v/>
      </c>
      <c r="V830" t="str">
        <f t="shared" si="61"/>
        <v/>
      </c>
    </row>
    <row r="831" spans="1:22">
      <c r="A831" s="6"/>
      <c r="H831" s="25"/>
      <c r="I831" s="25"/>
      <c r="J831" s="25"/>
      <c r="K831" s="25"/>
      <c r="L831" s="1" t="str">
        <f t="shared" si="57"/>
        <v/>
      </c>
      <c r="M831" s="1" t="str">
        <f t="shared" si="58"/>
        <v/>
      </c>
      <c r="N831" s="26"/>
      <c r="S831" s="27" t="str">
        <f t="shared" si="59"/>
        <v/>
      </c>
      <c r="T831" s="28" t="str">
        <f t="shared" si="60"/>
        <v/>
      </c>
      <c r="V831" t="str">
        <f t="shared" si="61"/>
        <v/>
      </c>
    </row>
    <row r="832" spans="1:22">
      <c r="A832" s="6"/>
      <c r="H832" s="25"/>
      <c r="I832" s="25"/>
      <c r="J832" s="25"/>
      <c r="K832" s="25"/>
      <c r="L832" s="1" t="str">
        <f t="shared" si="57"/>
        <v/>
      </c>
      <c r="M832" s="1" t="str">
        <f t="shared" si="58"/>
        <v/>
      </c>
      <c r="N832" s="26"/>
      <c r="S832" s="27" t="str">
        <f t="shared" si="59"/>
        <v/>
      </c>
      <c r="T832" s="28" t="str">
        <f t="shared" si="60"/>
        <v/>
      </c>
      <c r="V832" t="str">
        <f t="shared" si="61"/>
        <v/>
      </c>
    </row>
    <row r="833" spans="1:22">
      <c r="A833" s="6"/>
      <c r="H833" s="25"/>
      <c r="I833" s="25"/>
      <c r="J833" s="25"/>
      <c r="K833" s="25"/>
      <c r="L833" s="1" t="str">
        <f t="shared" si="57"/>
        <v/>
      </c>
      <c r="M833" s="1" t="str">
        <f t="shared" si="58"/>
        <v/>
      </c>
      <c r="N833" s="26"/>
      <c r="S833" s="27" t="str">
        <f t="shared" si="59"/>
        <v/>
      </c>
      <c r="T833" s="28" t="str">
        <f t="shared" si="60"/>
        <v/>
      </c>
      <c r="V833" t="str">
        <f t="shared" si="61"/>
        <v/>
      </c>
    </row>
    <row r="834" spans="1:22">
      <c r="A834" s="6"/>
      <c r="H834" s="25"/>
      <c r="I834" s="25"/>
      <c r="J834" s="25"/>
      <c r="K834" s="25"/>
      <c r="L834" s="1" t="str">
        <f t="shared" ref="L834:L897" si="62">IF($A834="","",IF(AND(ISNUMBER($H834),ISNUMBER($K834)),MOD($K834-$H834,1),""))</f>
        <v/>
      </c>
      <c r="M834" s="1" t="str">
        <f t="shared" ref="M834:M897" si="63">IF($A834="","",IF(AND(ISNUMBER($I834),ISNUMBER($J834)),MOD($J834-$I834,1),""))</f>
        <v/>
      </c>
      <c r="N834" s="26"/>
      <c r="S834" s="27" t="str">
        <f t="shared" si="59"/>
        <v/>
      </c>
      <c r="T834" s="28" t="str">
        <f t="shared" si="60"/>
        <v/>
      </c>
      <c r="V834" t="str">
        <f t="shared" si="61"/>
        <v/>
      </c>
    </row>
    <row r="835" spans="1:22">
      <c r="A835" s="6"/>
      <c r="H835" s="25"/>
      <c r="I835" s="25"/>
      <c r="J835" s="25"/>
      <c r="K835" s="25"/>
      <c r="L835" s="1" t="str">
        <f t="shared" si="62"/>
        <v/>
      </c>
      <c r="M835" s="1" t="str">
        <f t="shared" si="63"/>
        <v/>
      </c>
      <c r="N835" s="26"/>
      <c r="S835" s="27" t="str">
        <f t="shared" si="59"/>
        <v/>
      </c>
      <c r="T835" s="28" t="str">
        <f t="shared" si="60"/>
        <v/>
      </c>
      <c r="V835" t="str">
        <f t="shared" si="61"/>
        <v/>
      </c>
    </row>
    <row r="836" spans="1:22">
      <c r="A836" s="6"/>
      <c r="H836" s="25"/>
      <c r="I836" s="25"/>
      <c r="J836" s="25"/>
      <c r="K836" s="25"/>
      <c r="L836" s="1" t="str">
        <f t="shared" si="62"/>
        <v/>
      </c>
      <c r="M836" s="1" t="str">
        <f t="shared" si="63"/>
        <v/>
      </c>
      <c r="N836" s="26"/>
      <c r="S836" s="27" t="str">
        <f t="shared" si="59"/>
        <v/>
      </c>
      <c r="T836" s="28" t="str">
        <f t="shared" si="60"/>
        <v/>
      </c>
      <c r="V836" t="str">
        <f t="shared" si="61"/>
        <v/>
      </c>
    </row>
    <row r="837" spans="1:22">
      <c r="A837" s="6"/>
      <c r="H837" s="25"/>
      <c r="I837" s="25"/>
      <c r="J837" s="25"/>
      <c r="K837" s="25"/>
      <c r="L837" s="1" t="str">
        <f t="shared" si="62"/>
        <v/>
      </c>
      <c r="M837" s="1" t="str">
        <f t="shared" si="63"/>
        <v/>
      </c>
      <c r="N837" s="26"/>
      <c r="S837" s="27" t="str">
        <f t="shared" ref="S837:S900" si="64">IF($C837="","",IF($C837="3344",450,IF($C837="5194",320,IF($C837="6606",290,IF($C837="7430",290,IF($C837="8115",2080,IF($C837="8205",450,IF($C837="8441",260,IF($C837="OK-BIC",3060,IF($C837="OK-BID",3060,IF($C837="OK-BIK",2700,IF($C837="OK-BIL",3060,IF($C837="OK-BIN",3060,IF($C837="OK-BIR",3060,IF($C837="OK-BUG12",2150,IF($C837="OK-CUG23",2370,IF($C837="OK-DAS",5600,IF($C837="OK-DOD",4420,IF($C837="OK-DPH",5000,IF($C837="OK-DUI89",2250,IF($C837="OK-DUI94",4000,IF($C837="OK-EUI10",2250,IF($C837="OK-EUI21",4000,IF($C837="OK-IAF",3060,IF($C837="OK-MPK",3820,IF($C837="OK-NUU90",2080,IF($C837="OK-UUR14",2250,IF($C837="OK-WUS17",3500,IF($C837="OK-XAI04",1860,"")))))))))))))))))))))))))))))</f>
        <v/>
      </c>
      <c r="T837" s="28" t="str">
        <f t="shared" si="60"/>
        <v/>
      </c>
      <c r="V837" t="str">
        <f t="shared" si="61"/>
        <v/>
      </c>
    </row>
    <row r="838" spans="1:22">
      <c r="A838" s="6"/>
      <c r="H838" s="25"/>
      <c r="I838" s="25"/>
      <c r="J838" s="25"/>
      <c r="K838" s="25"/>
      <c r="L838" s="1" t="str">
        <f t="shared" si="62"/>
        <v/>
      </c>
      <c r="M838" s="1" t="str">
        <f t="shared" si="63"/>
        <v/>
      </c>
      <c r="N838" s="26"/>
      <c r="S838" s="27" t="str">
        <f t="shared" si="64"/>
        <v/>
      </c>
      <c r="T838" s="28" t="str">
        <f t="shared" si="60"/>
        <v/>
      </c>
      <c r="V838" t="str">
        <f t="shared" si="61"/>
        <v/>
      </c>
    </row>
    <row r="839" spans="1:22">
      <c r="A839" s="6"/>
      <c r="H839" s="25"/>
      <c r="I839" s="25"/>
      <c r="J839" s="25"/>
      <c r="K839" s="25"/>
      <c r="L839" s="1" t="str">
        <f t="shared" si="62"/>
        <v/>
      </c>
      <c r="M839" s="1" t="str">
        <f t="shared" si="63"/>
        <v/>
      </c>
      <c r="N839" s="26"/>
      <c r="S839" s="27" t="str">
        <f t="shared" si="64"/>
        <v/>
      </c>
      <c r="T839" s="28" t="str">
        <f t="shared" si="60"/>
        <v/>
      </c>
      <c r="V839" t="str">
        <f t="shared" si="61"/>
        <v/>
      </c>
    </row>
    <row r="840" spans="1:22">
      <c r="A840" s="6"/>
      <c r="H840" s="25"/>
      <c r="I840" s="25"/>
      <c r="J840" s="25"/>
      <c r="K840" s="25"/>
      <c r="L840" s="1" t="str">
        <f t="shared" si="62"/>
        <v/>
      </c>
      <c r="M840" s="1" t="str">
        <f t="shared" si="63"/>
        <v/>
      </c>
      <c r="N840" s="26"/>
      <c r="S840" s="27" t="str">
        <f t="shared" si="64"/>
        <v/>
      </c>
      <c r="T840" s="28" t="str">
        <f t="shared" si="60"/>
        <v/>
      </c>
      <c r="V840" t="str">
        <f t="shared" si="61"/>
        <v/>
      </c>
    </row>
    <row r="841" spans="1:22">
      <c r="A841" s="6"/>
      <c r="H841" s="25"/>
      <c r="I841" s="25"/>
      <c r="J841" s="25"/>
      <c r="K841" s="25"/>
      <c r="L841" s="1" t="str">
        <f t="shared" si="62"/>
        <v/>
      </c>
      <c r="M841" s="1" t="str">
        <f t="shared" si="63"/>
        <v/>
      </c>
      <c r="N841" s="26"/>
      <c r="S841" s="27" t="str">
        <f t="shared" si="64"/>
        <v/>
      </c>
      <c r="T841" s="28" t="str">
        <f t="shared" si="60"/>
        <v/>
      </c>
      <c r="V841" t="str">
        <f t="shared" si="61"/>
        <v/>
      </c>
    </row>
    <row r="842" spans="1:22">
      <c r="A842" s="6"/>
      <c r="H842" s="25"/>
      <c r="I842" s="25"/>
      <c r="J842" s="25"/>
      <c r="K842" s="25"/>
      <c r="L842" s="1" t="str">
        <f t="shared" si="62"/>
        <v/>
      </c>
      <c r="M842" s="1" t="str">
        <f t="shared" si="63"/>
        <v/>
      </c>
      <c r="N842" s="26"/>
      <c r="S842" s="27" t="str">
        <f t="shared" si="64"/>
        <v/>
      </c>
      <c r="T842" s="28" t="str">
        <f t="shared" si="60"/>
        <v/>
      </c>
      <c r="V842" t="str">
        <f t="shared" si="61"/>
        <v/>
      </c>
    </row>
    <row r="843" spans="1:22">
      <c r="A843" s="6"/>
      <c r="H843" s="25"/>
      <c r="I843" s="25"/>
      <c r="J843" s="25"/>
      <c r="K843" s="25"/>
      <c r="L843" s="1" t="str">
        <f t="shared" si="62"/>
        <v/>
      </c>
      <c r="M843" s="1" t="str">
        <f t="shared" si="63"/>
        <v/>
      </c>
      <c r="N843" s="26"/>
      <c r="S843" s="27" t="str">
        <f t="shared" si="64"/>
        <v/>
      </c>
      <c r="T843" s="28" t="str">
        <f t="shared" si="60"/>
        <v/>
      </c>
      <c r="V843" t="str">
        <f t="shared" si="61"/>
        <v/>
      </c>
    </row>
    <row r="844" spans="1:22">
      <c r="A844" s="6"/>
      <c r="H844" s="25"/>
      <c r="I844" s="25"/>
      <c r="J844" s="25"/>
      <c r="K844" s="25"/>
      <c r="L844" s="1" t="str">
        <f t="shared" si="62"/>
        <v/>
      </c>
      <c r="M844" s="1" t="str">
        <f t="shared" si="63"/>
        <v/>
      </c>
      <c r="N844" s="26"/>
      <c r="S844" s="27" t="str">
        <f t="shared" si="64"/>
        <v/>
      </c>
      <c r="T844" s="28" t="str">
        <f t="shared" si="60"/>
        <v/>
      </c>
      <c r="V844" t="str">
        <f t="shared" si="61"/>
        <v/>
      </c>
    </row>
    <row r="845" spans="1:22">
      <c r="A845" s="6"/>
      <c r="H845" s="25"/>
      <c r="I845" s="25"/>
      <c r="J845" s="25"/>
      <c r="K845" s="25"/>
      <c r="L845" s="1" t="str">
        <f t="shared" si="62"/>
        <v/>
      </c>
      <c r="M845" s="1" t="str">
        <f t="shared" si="63"/>
        <v/>
      </c>
      <c r="N845" s="26"/>
      <c r="S845" s="27" t="str">
        <f t="shared" si="64"/>
        <v/>
      </c>
      <c r="T845" s="28" t="str">
        <f t="shared" si="60"/>
        <v/>
      </c>
      <c r="V845" t="str">
        <f t="shared" si="61"/>
        <v/>
      </c>
    </row>
    <row r="846" spans="1:22">
      <c r="A846" s="6"/>
      <c r="H846" s="25"/>
      <c r="I846" s="25"/>
      <c r="J846" s="25"/>
      <c r="K846" s="25"/>
      <c r="L846" s="1" t="str">
        <f t="shared" si="62"/>
        <v/>
      </c>
      <c r="M846" s="1" t="str">
        <f t="shared" si="63"/>
        <v/>
      </c>
      <c r="N846" s="26"/>
      <c r="S846" s="27" t="str">
        <f t="shared" si="64"/>
        <v/>
      </c>
      <c r="T846" s="28" t="str">
        <f t="shared" si="60"/>
        <v/>
      </c>
      <c r="V846" t="str">
        <f t="shared" si="61"/>
        <v/>
      </c>
    </row>
    <row r="847" spans="1:22">
      <c r="A847" s="6"/>
      <c r="H847" s="25"/>
      <c r="I847" s="25"/>
      <c r="J847" s="25"/>
      <c r="K847" s="25"/>
      <c r="L847" s="1" t="str">
        <f t="shared" si="62"/>
        <v/>
      </c>
      <c r="M847" s="1" t="str">
        <f t="shared" si="63"/>
        <v/>
      </c>
      <c r="N847" s="26"/>
      <c r="S847" s="27" t="str">
        <f t="shared" si="64"/>
        <v/>
      </c>
      <c r="T847" s="28" t="str">
        <f t="shared" si="60"/>
        <v/>
      </c>
      <c r="V847" t="str">
        <f t="shared" si="61"/>
        <v/>
      </c>
    </row>
    <row r="848" spans="1:22">
      <c r="A848" s="6"/>
      <c r="H848" s="25"/>
      <c r="I848" s="25"/>
      <c r="J848" s="25"/>
      <c r="K848" s="25"/>
      <c r="L848" s="1" t="str">
        <f t="shared" si="62"/>
        <v/>
      </c>
      <c r="M848" s="1" t="str">
        <f t="shared" si="63"/>
        <v/>
      </c>
      <c r="N848" s="26"/>
      <c r="S848" s="27" t="str">
        <f t="shared" si="64"/>
        <v/>
      </c>
      <c r="T848" s="28" t="str">
        <f t="shared" si="60"/>
        <v/>
      </c>
      <c r="V848" t="str">
        <f t="shared" si="61"/>
        <v/>
      </c>
    </row>
    <row r="849" spans="1:22">
      <c r="A849" s="6"/>
      <c r="H849" s="25"/>
      <c r="I849" s="25"/>
      <c r="J849" s="25"/>
      <c r="K849" s="25"/>
      <c r="L849" s="1" t="str">
        <f t="shared" si="62"/>
        <v/>
      </c>
      <c r="M849" s="1" t="str">
        <f t="shared" si="63"/>
        <v/>
      </c>
      <c r="N849" s="26"/>
      <c r="S849" s="27" t="str">
        <f t="shared" si="64"/>
        <v/>
      </c>
      <c r="T849" s="28" t="str">
        <f t="shared" si="60"/>
        <v/>
      </c>
      <c r="V849" t="str">
        <f t="shared" si="61"/>
        <v/>
      </c>
    </row>
    <row r="850" spans="1:22">
      <c r="A850" s="6"/>
      <c r="H850" s="25"/>
      <c r="I850" s="25"/>
      <c r="J850" s="25"/>
      <c r="K850" s="25"/>
      <c r="L850" s="1" t="str">
        <f t="shared" si="62"/>
        <v/>
      </c>
      <c r="M850" s="1" t="str">
        <f t="shared" si="63"/>
        <v/>
      </c>
      <c r="N850" s="26"/>
      <c r="S850" s="27" t="str">
        <f t="shared" si="64"/>
        <v/>
      </c>
      <c r="T850" s="28" t="str">
        <f t="shared" si="60"/>
        <v/>
      </c>
      <c r="V850" t="str">
        <f t="shared" si="61"/>
        <v/>
      </c>
    </row>
    <row r="851" spans="1:22">
      <c r="A851" s="6"/>
      <c r="H851" s="25"/>
      <c r="I851" s="25"/>
      <c r="J851" s="25"/>
      <c r="K851" s="25"/>
      <c r="L851" s="1" t="str">
        <f t="shared" si="62"/>
        <v/>
      </c>
      <c r="M851" s="1" t="str">
        <f t="shared" si="63"/>
        <v/>
      </c>
      <c r="N851" s="26"/>
      <c r="S851" s="27" t="str">
        <f t="shared" si="64"/>
        <v/>
      </c>
      <c r="T851" s="28" t="str">
        <f t="shared" si="60"/>
        <v/>
      </c>
      <c r="V851" t="str">
        <f t="shared" si="61"/>
        <v/>
      </c>
    </row>
    <row r="852" spans="1:22">
      <c r="A852" s="6"/>
      <c r="H852" s="25"/>
      <c r="I852" s="25"/>
      <c r="J852" s="25"/>
      <c r="K852" s="25"/>
      <c r="L852" s="1" t="str">
        <f t="shared" si="62"/>
        <v/>
      </c>
      <c r="M852" s="1" t="str">
        <f t="shared" si="63"/>
        <v/>
      </c>
      <c r="N852" s="26"/>
      <c r="S852" s="27" t="str">
        <f t="shared" si="64"/>
        <v/>
      </c>
      <c r="T852" s="28" t="str">
        <f t="shared" ref="T852:T915" si="65">IF($A852="","",IF(OR($S852="", $S852&lt;=0, $L852=""),"",ROUND($L852*24*$S852,2)))</f>
        <v/>
      </c>
      <c r="V852" t="str">
        <f t="shared" ref="V852:V915" si="66">IF($A852="","",IF(OR(YEAR($A852)&lt;2020,YEAR($A852)&gt;2030),"Podezřelé datum",IF(OR($F852="",$G852=""),"Chybí letiště",IF(OR($H852="",$I852="",$J852="",$K852=""),"Chybí čas",IF(OR($H852&gt;$I852,$I852&gt;$J852,$J852&gt;$K852),"Časy mimo pořadí",IF($M852&gt;$L852,"Air &gt; Block",IF(OR($S852="", $S852&lt;=0),"Chybí sazba","OK")))))))</f>
        <v/>
      </c>
    </row>
    <row r="853" spans="1:22">
      <c r="A853" s="6"/>
      <c r="H853" s="25"/>
      <c r="I853" s="25"/>
      <c r="J853" s="25"/>
      <c r="K853" s="25"/>
      <c r="L853" s="1" t="str">
        <f t="shared" si="62"/>
        <v/>
      </c>
      <c r="M853" s="1" t="str">
        <f t="shared" si="63"/>
        <v/>
      </c>
      <c r="N853" s="26"/>
      <c r="S853" s="27" t="str">
        <f t="shared" si="64"/>
        <v/>
      </c>
      <c r="T853" s="28" t="str">
        <f t="shared" si="65"/>
        <v/>
      </c>
      <c r="V853" t="str">
        <f t="shared" si="66"/>
        <v/>
      </c>
    </row>
    <row r="854" spans="1:22">
      <c r="A854" s="6"/>
      <c r="H854" s="25"/>
      <c r="I854" s="25"/>
      <c r="J854" s="25"/>
      <c r="K854" s="25"/>
      <c r="L854" s="1" t="str">
        <f t="shared" si="62"/>
        <v/>
      </c>
      <c r="M854" s="1" t="str">
        <f t="shared" si="63"/>
        <v/>
      </c>
      <c r="N854" s="26"/>
      <c r="S854" s="27" t="str">
        <f t="shared" si="64"/>
        <v/>
      </c>
      <c r="T854" s="28" t="str">
        <f t="shared" si="65"/>
        <v/>
      </c>
      <c r="V854" t="str">
        <f t="shared" si="66"/>
        <v/>
      </c>
    </row>
    <row r="855" spans="1:22">
      <c r="A855" s="6"/>
      <c r="H855" s="25"/>
      <c r="I855" s="25"/>
      <c r="J855" s="25"/>
      <c r="K855" s="25"/>
      <c r="L855" s="1" t="str">
        <f t="shared" si="62"/>
        <v/>
      </c>
      <c r="M855" s="1" t="str">
        <f t="shared" si="63"/>
        <v/>
      </c>
      <c r="N855" s="26"/>
      <c r="S855" s="27" t="str">
        <f t="shared" si="64"/>
        <v/>
      </c>
      <c r="T855" s="28" t="str">
        <f t="shared" si="65"/>
        <v/>
      </c>
      <c r="V855" t="str">
        <f t="shared" si="66"/>
        <v/>
      </c>
    </row>
    <row r="856" spans="1:22">
      <c r="A856" s="6"/>
      <c r="H856" s="25"/>
      <c r="I856" s="25"/>
      <c r="J856" s="25"/>
      <c r="K856" s="25"/>
      <c r="L856" s="1" t="str">
        <f t="shared" si="62"/>
        <v/>
      </c>
      <c r="M856" s="1" t="str">
        <f t="shared" si="63"/>
        <v/>
      </c>
      <c r="N856" s="26"/>
      <c r="S856" s="27" t="str">
        <f t="shared" si="64"/>
        <v/>
      </c>
      <c r="T856" s="28" t="str">
        <f t="shared" si="65"/>
        <v/>
      </c>
      <c r="V856" t="str">
        <f t="shared" si="66"/>
        <v/>
      </c>
    </row>
    <row r="857" spans="1:22">
      <c r="A857" s="6"/>
      <c r="H857" s="25"/>
      <c r="I857" s="25"/>
      <c r="J857" s="25"/>
      <c r="K857" s="25"/>
      <c r="L857" s="1" t="str">
        <f t="shared" si="62"/>
        <v/>
      </c>
      <c r="M857" s="1" t="str">
        <f t="shared" si="63"/>
        <v/>
      </c>
      <c r="N857" s="26"/>
      <c r="S857" s="27" t="str">
        <f t="shared" si="64"/>
        <v/>
      </c>
      <c r="T857" s="28" t="str">
        <f t="shared" si="65"/>
        <v/>
      </c>
      <c r="V857" t="str">
        <f t="shared" si="66"/>
        <v/>
      </c>
    </row>
    <row r="858" spans="1:22">
      <c r="A858" s="6"/>
      <c r="H858" s="25"/>
      <c r="I858" s="25"/>
      <c r="J858" s="25"/>
      <c r="K858" s="25"/>
      <c r="L858" s="1" t="str">
        <f t="shared" si="62"/>
        <v/>
      </c>
      <c r="M858" s="1" t="str">
        <f t="shared" si="63"/>
        <v/>
      </c>
      <c r="N858" s="26"/>
      <c r="S858" s="27" t="str">
        <f t="shared" si="64"/>
        <v/>
      </c>
      <c r="T858" s="28" t="str">
        <f t="shared" si="65"/>
        <v/>
      </c>
      <c r="V858" t="str">
        <f t="shared" si="66"/>
        <v/>
      </c>
    </row>
    <row r="859" spans="1:22">
      <c r="A859" s="6"/>
      <c r="H859" s="25"/>
      <c r="I859" s="25"/>
      <c r="J859" s="25"/>
      <c r="K859" s="25"/>
      <c r="L859" s="1" t="str">
        <f t="shared" si="62"/>
        <v/>
      </c>
      <c r="M859" s="1" t="str">
        <f t="shared" si="63"/>
        <v/>
      </c>
      <c r="N859" s="26"/>
      <c r="S859" s="27" t="str">
        <f t="shared" si="64"/>
        <v/>
      </c>
      <c r="T859" s="28" t="str">
        <f t="shared" si="65"/>
        <v/>
      </c>
      <c r="V859" t="str">
        <f t="shared" si="66"/>
        <v/>
      </c>
    </row>
    <row r="860" spans="1:22">
      <c r="A860" s="6"/>
      <c r="H860" s="25"/>
      <c r="I860" s="25"/>
      <c r="J860" s="25"/>
      <c r="K860" s="25"/>
      <c r="L860" s="1" t="str">
        <f t="shared" si="62"/>
        <v/>
      </c>
      <c r="M860" s="1" t="str">
        <f t="shared" si="63"/>
        <v/>
      </c>
      <c r="N860" s="26"/>
      <c r="S860" s="27" t="str">
        <f t="shared" si="64"/>
        <v/>
      </c>
      <c r="T860" s="28" t="str">
        <f t="shared" si="65"/>
        <v/>
      </c>
      <c r="V860" t="str">
        <f t="shared" si="66"/>
        <v/>
      </c>
    </row>
    <row r="861" spans="1:22">
      <c r="A861" s="6"/>
      <c r="H861" s="25"/>
      <c r="I861" s="25"/>
      <c r="J861" s="25"/>
      <c r="K861" s="25"/>
      <c r="L861" s="1" t="str">
        <f t="shared" si="62"/>
        <v/>
      </c>
      <c r="M861" s="1" t="str">
        <f t="shared" si="63"/>
        <v/>
      </c>
      <c r="N861" s="26"/>
      <c r="S861" s="27" t="str">
        <f t="shared" si="64"/>
        <v/>
      </c>
      <c r="T861" s="28" t="str">
        <f t="shared" si="65"/>
        <v/>
      </c>
      <c r="V861" t="str">
        <f t="shared" si="66"/>
        <v/>
      </c>
    </row>
    <row r="862" spans="1:22">
      <c r="A862" s="6"/>
      <c r="H862" s="25"/>
      <c r="I862" s="25"/>
      <c r="J862" s="25"/>
      <c r="K862" s="25"/>
      <c r="L862" s="1" t="str">
        <f t="shared" si="62"/>
        <v/>
      </c>
      <c r="M862" s="1" t="str">
        <f t="shared" si="63"/>
        <v/>
      </c>
      <c r="N862" s="26"/>
      <c r="S862" s="27" t="str">
        <f t="shared" si="64"/>
        <v/>
      </c>
      <c r="T862" s="28" t="str">
        <f t="shared" si="65"/>
        <v/>
      </c>
      <c r="V862" t="str">
        <f t="shared" si="66"/>
        <v/>
      </c>
    </row>
    <row r="863" spans="1:22">
      <c r="A863" s="6"/>
      <c r="H863" s="25"/>
      <c r="I863" s="25"/>
      <c r="J863" s="25"/>
      <c r="K863" s="25"/>
      <c r="L863" s="1" t="str">
        <f t="shared" si="62"/>
        <v/>
      </c>
      <c r="M863" s="1" t="str">
        <f t="shared" si="63"/>
        <v/>
      </c>
      <c r="N863" s="26"/>
      <c r="S863" s="27" t="str">
        <f t="shared" si="64"/>
        <v/>
      </c>
      <c r="T863" s="28" t="str">
        <f t="shared" si="65"/>
        <v/>
      </c>
      <c r="V863" t="str">
        <f t="shared" si="66"/>
        <v/>
      </c>
    </row>
    <row r="864" spans="1:22">
      <c r="A864" s="6"/>
      <c r="H864" s="25"/>
      <c r="I864" s="25"/>
      <c r="J864" s="25"/>
      <c r="K864" s="25"/>
      <c r="L864" s="1" t="str">
        <f t="shared" si="62"/>
        <v/>
      </c>
      <c r="M864" s="1" t="str">
        <f t="shared" si="63"/>
        <v/>
      </c>
      <c r="N864" s="26"/>
      <c r="S864" s="27" t="str">
        <f t="shared" si="64"/>
        <v/>
      </c>
      <c r="T864" s="28" t="str">
        <f t="shared" si="65"/>
        <v/>
      </c>
      <c r="V864" t="str">
        <f t="shared" si="66"/>
        <v/>
      </c>
    </row>
    <row r="865" spans="1:22">
      <c r="A865" s="6"/>
      <c r="H865" s="25"/>
      <c r="I865" s="25"/>
      <c r="J865" s="25"/>
      <c r="K865" s="25"/>
      <c r="L865" s="1" t="str">
        <f t="shared" si="62"/>
        <v/>
      </c>
      <c r="M865" s="1" t="str">
        <f t="shared" si="63"/>
        <v/>
      </c>
      <c r="N865" s="26"/>
      <c r="S865" s="27" t="str">
        <f t="shared" si="64"/>
        <v/>
      </c>
      <c r="T865" s="28" t="str">
        <f t="shared" si="65"/>
        <v/>
      </c>
      <c r="V865" t="str">
        <f t="shared" si="66"/>
        <v/>
      </c>
    </row>
    <row r="866" spans="1:22">
      <c r="A866" s="6"/>
      <c r="H866" s="25"/>
      <c r="I866" s="25"/>
      <c r="J866" s="25"/>
      <c r="K866" s="25"/>
      <c r="L866" s="1" t="str">
        <f t="shared" si="62"/>
        <v/>
      </c>
      <c r="M866" s="1" t="str">
        <f t="shared" si="63"/>
        <v/>
      </c>
      <c r="N866" s="26"/>
      <c r="S866" s="27" t="str">
        <f t="shared" si="64"/>
        <v/>
      </c>
      <c r="T866" s="28" t="str">
        <f t="shared" si="65"/>
        <v/>
      </c>
      <c r="V866" t="str">
        <f t="shared" si="66"/>
        <v/>
      </c>
    </row>
    <row r="867" spans="1:22">
      <c r="A867" s="6"/>
      <c r="H867" s="25"/>
      <c r="I867" s="25"/>
      <c r="J867" s="25"/>
      <c r="K867" s="25"/>
      <c r="L867" s="1" t="str">
        <f t="shared" si="62"/>
        <v/>
      </c>
      <c r="M867" s="1" t="str">
        <f t="shared" si="63"/>
        <v/>
      </c>
      <c r="N867" s="26"/>
      <c r="S867" s="27" t="str">
        <f t="shared" si="64"/>
        <v/>
      </c>
      <c r="T867" s="28" t="str">
        <f t="shared" si="65"/>
        <v/>
      </c>
      <c r="V867" t="str">
        <f t="shared" si="66"/>
        <v/>
      </c>
    </row>
    <row r="868" spans="1:22">
      <c r="A868" s="6"/>
      <c r="H868" s="25"/>
      <c r="I868" s="25"/>
      <c r="J868" s="25"/>
      <c r="K868" s="25"/>
      <c r="L868" s="1" t="str">
        <f t="shared" si="62"/>
        <v/>
      </c>
      <c r="M868" s="1" t="str">
        <f t="shared" si="63"/>
        <v/>
      </c>
      <c r="N868" s="26"/>
      <c r="S868" s="27" t="str">
        <f t="shared" si="64"/>
        <v/>
      </c>
      <c r="T868" s="28" t="str">
        <f t="shared" si="65"/>
        <v/>
      </c>
      <c r="V868" t="str">
        <f t="shared" si="66"/>
        <v/>
      </c>
    </row>
    <row r="869" spans="1:22">
      <c r="A869" s="6"/>
      <c r="H869" s="25"/>
      <c r="I869" s="25"/>
      <c r="J869" s="25"/>
      <c r="K869" s="25"/>
      <c r="L869" s="1" t="str">
        <f t="shared" si="62"/>
        <v/>
      </c>
      <c r="M869" s="1" t="str">
        <f t="shared" si="63"/>
        <v/>
      </c>
      <c r="N869" s="26"/>
      <c r="S869" s="27" t="str">
        <f t="shared" si="64"/>
        <v/>
      </c>
      <c r="T869" s="28" t="str">
        <f t="shared" si="65"/>
        <v/>
      </c>
      <c r="V869" t="str">
        <f t="shared" si="66"/>
        <v/>
      </c>
    </row>
    <row r="870" spans="1:22">
      <c r="A870" s="6"/>
      <c r="H870" s="25"/>
      <c r="I870" s="25"/>
      <c r="J870" s="25"/>
      <c r="K870" s="25"/>
      <c r="L870" s="1" t="str">
        <f t="shared" si="62"/>
        <v/>
      </c>
      <c r="M870" s="1" t="str">
        <f t="shared" si="63"/>
        <v/>
      </c>
      <c r="N870" s="26"/>
      <c r="S870" s="27" t="str">
        <f t="shared" si="64"/>
        <v/>
      </c>
      <c r="T870" s="28" t="str">
        <f t="shared" si="65"/>
        <v/>
      </c>
      <c r="V870" t="str">
        <f t="shared" si="66"/>
        <v/>
      </c>
    </row>
    <row r="871" spans="1:22">
      <c r="A871" s="6"/>
      <c r="H871" s="25"/>
      <c r="I871" s="25"/>
      <c r="J871" s="25"/>
      <c r="K871" s="25"/>
      <c r="L871" s="1" t="str">
        <f t="shared" si="62"/>
        <v/>
      </c>
      <c r="M871" s="1" t="str">
        <f t="shared" si="63"/>
        <v/>
      </c>
      <c r="N871" s="26"/>
      <c r="S871" s="27" t="str">
        <f t="shared" si="64"/>
        <v/>
      </c>
      <c r="T871" s="28" t="str">
        <f t="shared" si="65"/>
        <v/>
      </c>
      <c r="V871" t="str">
        <f t="shared" si="66"/>
        <v/>
      </c>
    </row>
    <row r="872" spans="1:22">
      <c r="A872" s="6"/>
      <c r="H872" s="25"/>
      <c r="I872" s="25"/>
      <c r="J872" s="25"/>
      <c r="K872" s="25"/>
      <c r="L872" s="1" t="str">
        <f t="shared" si="62"/>
        <v/>
      </c>
      <c r="M872" s="1" t="str">
        <f t="shared" si="63"/>
        <v/>
      </c>
      <c r="N872" s="26"/>
      <c r="S872" s="27" t="str">
        <f t="shared" si="64"/>
        <v/>
      </c>
      <c r="T872" s="28" t="str">
        <f t="shared" si="65"/>
        <v/>
      </c>
      <c r="V872" t="str">
        <f t="shared" si="66"/>
        <v/>
      </c>
    </row>
    <row r="873" spans="1:22">
      <c r="A873" s="6"/>
      <c r="H873" s="25"/>
      <c r="I873" s="25"/>
      <c r="J873" s="25"/>
      <c r="K873" s="25"/>
      <c r="L873" s="1" t="str">
        <f t="shared" si="62"/>
        <v/>
      </c>
      <c r="M873" s="1" t="str">
        <f t="shared" si="63"/>
        <v/>
      </c>
      <c r="N873" s="26"/>
      <c r="S873" s="27" t="str">
        <f t="shared" si="64"/>
        <v/>
      </c>
      <c r="T873" s="28" t="str">
        <f t="shared" si="65"/>
        <v/>
      </c>
      <c r="V873" t="str">
        <f t="shared" si="66"/>
        <v/>
      </c>
    </row>
    <row r="874" spans="1:22">
      <c r="A874" s="6"/>
      <c r="H874" s="25"/>
      <c r="I874" s="25"/>
      <c r="J874" s="25"/>
      <c r="K874" s="25"/>
      <c r="L874" s="1" t="str">
        <f t="shared" si="62"/>
        <v/>
      </c>
      <c r="M874" s="1" t="str">
        <f t="shared" si="63"/>
        <v/>
      </c>
      <c r="N874" s="26"/>
      <c r="S874" s="27" t="str">
        <f t="shared" si="64"/>
        <v/>
      </c>
      <c r="T874" s="28" t="str">
        <f t="shared" si="65"/>
        <v/>
      </c>
      <c r="V874" t="str">
        <f t="shared" si="66"/>
        <v/>
      </c>
    </row>
    <row r="875" spans="1:22">
      <c r="A875" s="6"/>
      <c r="H875" s="25"/>
      <c r="I875" s="25"/>
      <c r="J875" s="25"/>
      <c r="K875" s="25"/>
      <c r="L875" s="1" t="str">
        <f t="shared" si="62"/>
        <v/>
      </c>
      <c r="M875" s="1" t="str">
        <f t="shared" si="63"/>
        <v/>
      </c>
      <c r="N875" s="26"/>
      <c r="S875" s="27" t="str">
        <f t="shared" si="64"/>
        <v/>
      </c>
      <c r="T875" s="28" t="str">
        <f t="shared" si="65"/>
        <v/>
      </c>
      <c r="V875" t="str">
        <f t="shared" si="66"/>
        <v/>
      </c>
    </row>
    <row r="876" spans="1:22">
      <c r="A876" s="6"/>
      <c r="H876" s="25"/>
      <c r="I876" s="25"/>
      <c r="J876" s="25"/>
      <c r="K876" s="25"/>
      <c r="L876" s="1" t="str">
        <f t="shared" si="62"/>
        <v/>
      </c>
      <c r="M876" s="1" t="str">
        <f t="shared" si="63"/>
        <v/>
      </c>
      <c r="N876" s="26"/>
      <c r="S876" s="27" t="str">
        <f t="shared" si="64"/>
        <v/>
      </c>
      <c r="T876" s="28" t="str">
        <f t="shared" si="65"/>
        <v/>
      </c>
      <c r="V876" t="str">
        <f t="shared" si="66"/>
        <v/>
      </c>
    </row>
    <row r="877" spans="1:22">
      <c r="A877" s="6"/>
      <c r="H877" s="25"/>
      <c r="I877" s="25"/>
      <c r="J877" s="25"/>
      <c r="K877" s="25"/>
      <c r="L877" s="1" t="str">
        <f t="shared" si="62"/>
        <v/>
      </c>
      <c r="M877" s="1" t="str">
        <f t="shared" si="63"/>
        <v/>
      </c>
      <c r="N877" s="26"/>
      <c r="S877" s="27" t="str">
        <f t="shared" si="64"/>
        <v/>
      </c>
      <c r="T877" s="28" t="str">
        <f t="shared" si="65"/>
        <v/>
      </c>
      <c r="V877" t="str">
        <f t="shared" si="66"/>
        <v/>
      </c>
    </row>
    <row r="878" spans="1:22">
      <c r="A878" s="6"/>
      <c r="H878" s="25"/>
      <c r="I878" s="25"/>
      <c r="J878" s="25"/>
      <c r="K878" s="25"/>
      <c r="L878" s="1" t="str">
        <f t="shared" si="62"/>
        <v/>
      </c>
      <c r="M878" s="1" t="str">
        <f t="shared" si="63"/>
        <v/>
      </c>
      <c r="N878" s="26"/>
      <c r="S878" s="27" t="str">
        <f t="shared" si="64"/>
        <v/>
      </c>
      <c r="T878" s="28" t="str">
        <f t="shared" si="65"/>
        <v/>
      </c>
      <c r="V878" t="str">
        <f t="shared" si="66"/>
        <v/>
      </c>
    </row>
    <row r="879" spans="1:22">
      <c r="A879" s="6"/>
      <c r="H879" s="25"/>
      <c r="I879" s="25"/>
      <c r="J879" s="25"/>
      <c r="K879" s="25"/>
      <c r="L879" s="1" t="str">
        <f t="shared" si="62"/>
        <v/>
      </c>
      <c r="M879" s="1" t="str">
        <f t="shared" si="63"/>
        <v/>
      </c>
      <c r="N879" s="26"/>
      <c r="S879" s="27" t="str">
        <f t="shared" si="64"/>
        <v/>
      </c>
      <c r="T879" s="28" t="str">
        <f t="shared" si="65"/>
        <v/>
      </c>
      <c r="V879" t="str">
        <f t="shared" si="66"/>
        <v/>
      </c>
    </row>
    <row r="880" spans="1:22">
      <c r="A880" s="6"/>
      <c r="H880" s="25"/>
      <c r="I880" s="25"/>
      <c r="J880" s="25"/>
      <c r="K880" s="25"/>
      <c r="L880" s="1" t="str">
        <f t="shared" si="62"/>
        <v/>
      </c>
      <c r="M880" s="1" t="str">
        <f t="shared" si="63"/>
        <v/>
      </c>
      <c r="N880" s="26"/>
      <c r="S880" s="27" t="str">
        <f t="shared" si="64"/>
        <v/>
      </c>
      <c r="T880" s="28" t="str">
        <f t="shared" si="65"/>
        <v/>
      </c>
      <c r="V880" t="str">
        <f t="shared" si="66"/>
        <v/>
      </c>
    </row>
    <row r="881" spans="1:22">
      <c r="A881" s="6"/>
      <c r="H881" s="25"/>
      <c r="I881" s="25"/>
      <c r="J881" s="25"/>
      <c r="K881" s="25"/>
      <c r="L881" s="1" t="str">
        <f t="shared" si="62"/>
        <v/>
      </c>
      <c r="M881" s="1" t="str">
        <f t="shared" si="63"/>
        <v/>
      </c>
      <c r="N881" s="26"/>
      <c r="S881" s="27" t="str">
        <f t="shared" si="64"/>
        <v/>
      </c>
      <c r="T881" s="28" t="str">
        <f t="shared" si="65"/>
        <v/>
      </c>
      <c r="V881" t="str">
        <f t="shared" si="66"/>
        <v/>
      </c>
    </row>
    <row r="882" spans="1:22">
      <c r="A882" s="6"/>
      <c r="H882" s="25"/>
      <c r="I882" s="25"/>
      <c r="J882" s="25"/>
      <c r="K882" s="25"/>
      <c r="L882" s="1" t="str">
        <f t="shared" si="62"/>
        <v/>
      </c>
      <c r="M882" s="1" t="str">
        <f t="shared" si="63"/>
        <v/>
      </c>
      <c r="N882" s="26"/>
      <c r="S882" s="27" t="str">
        <f t="shared" si="64"/>
        <v/>
      </c>
      <c r="T882" s="28" t="str">
        <f t="shared" si="65"/>
        <v/>
      </c>
      <c r="V882" t="str">
        <f t="shared" si="66"/>
        <v/>
      </c>
    </row>
    <row r="883" spans="1:22">
      <c r="A883" s="6"/>
      <c r="H883" s="25"/>
      <c r="I883" s="25"/>
      <c r="J883" s="25"/>
      <c r="K883" s="25"/>
      <c r="L883" s="1" t="str">
        <f t="shared" si="62"/>
        <v/>
      </c>
      <c r="M883" s="1" t="str">
        <f t="shared" si="63"/>
        <v/>
      </c>
      <c r="N883" s="26"/>
      <c r="S883" s="27" t="str">
        <f t="shared" si="64"/>
        <v/>
      </c>
      <c r="T883" s="28" t="str">
        <f t="shared" si="65"/>
        <v/>
      </c>
      <c r="V883" t="str">
        <f t="shared" si="66"/>
        <v/>
      </c>
    </row>
    <row r="884" spans="1:22">
      <c r="A884" s="6"/>
      <c r="H884" s="25"/>
      <c r="I884" s="25"/>
      <c r="J884" s="25"/>
      <c r="K884" s="25"/>
      <c r="L884" s="1" t="str">
        <f t="shared" si="62"/>
        <v/>
      </c>
      <c r="M884" s="1" t="str">
        <f t="shared" si="63"/>
        <v/>
      </c>
      <c r="N884" s="26"/>
      <c r="S884" s="27" t="str">
        <f t="shared" si="64"/>
        <v/>
      </c>
      <c r="T884" s="28" t="str">
        <f t="shared" si="65"/>
        <v/>
      </c>
      <c r="V884" t="str">
        <f t="shared" si="66"/>
        <v/>
      </c>
    </row>
    <row r="885" spans="1:22">
      <c r="A885" s="6"/>
      <c r="H885" s="25"/>
      <c r="I885" s="25"/>
      <c r="J885" s="25"/>
      <c r="K885" s="25"/>
      <c r="L885" s="1" t="str">
        <f t="shared" si="62"/>
        <v/>
      </c>
      <c r="M885" s="1" t="str">
        <f t="shared" si="63"/>
        <v/>
      </c>
      <c r="N885" s="26"/>
      <c r="S885" s="27" t="str">
        <f t="shared" si="64"/>
        <v/>
      </c>
      <c r="T885" s="28" t="str">
        <f t="shared" si="65"/>
        <v/>
      </c>
      <c r="V885" t="str">
        <f t="shared" si="66"/>
        <v/>
      </c>
    </row>
    <row r="886" spans="1:22">
      <c r="A886" s="6"/>
      <c r="H886" s="25"/>
      <c r="I886" s="25"/>
      <c r="J886" s="25"/>
      <c r="K886" s="25"/>
      <c r="L886" s="1" t="str">
        <f t="shared" si="62"/>
        <v/>
      </c>
      <c r="M886" s="1" t="str">
        <f t="shared" si="63"/>
        <v/>
      </c>
      <c r="N886" s="26"/>
      <c r="S886" s="27" t="str">
        <f t="shared" si="64"/>
        <v/>
      </c>
      <c r="T886" s="28" t="str">
        <f t="shared" si="65"/>
        <v/>
      </c>
      <c r="V886" t="str">
        <f t="shared" si="66"/>
        <v/>
      </c>
    </row>
    <row r="887" spans="1:22">
      <c r="A887" s="6"/>
      <c r="H887" s="25"/>
      <c r="I887" s="25"/>
      <c r="J887" s="25"/>
      <c r="K887" s="25"/>
      <c r="L887" s="1" t="str">
        <f t="shared" si="62"/>
        <v/>
      </c>
      <c r="M887" s="1" t="str">
        <f t="shared" si="63"/>
        <v/>
      </c>
      <c r="N887" s="26"/>
      <c r="S887" s="27" t="str">
        <f t="shared" si="64"/>
        <v/>
      </c>
      <c r="T887" s="28" t="str">
        <f t="shared" si="65"/>
        <v/>
      </c>
      <c r="V887" t="str">
        <f t="shared" si="66"/>
        <v/>
      </c>
    </row>
    <row r="888" spans="1:22">
      <c r="A888" s="6"/>
      <c r="H888" s="25"/>
      <c r="I888" s="25"/>
      <c r="J888" s="25"/>
      <c r="K888" s="25"/>
      <c r="L888" s="1" t="str">
        <f t="shared" si="62"/>
        <v/>
      </c>
      <c r="M888" s="1" t="str">
        <f t="shared" si="63"/>
        <v/>
      </c>
      <c r="N888" s="26"/>
      <c r="S888" s="27" t="str">
        <f t="shared" si="64"/>
        <v/>
      </c>
      <c r="T888" s="28" t="str">
        <f t="shared" si="65"/>
        <v/>
      </c>
      <c r="V888" t="str">
        <f t="shared" si="66"/>
        <v/>
      </c>
    </row>
    <row r="889" spans="1:22">
      <c r="A889" s="6"/>
      <c r="H889" s="25"/>
      <c r="I889" s="25"/>
      <c r="J889" s="25"/>
      <c r="K889" s="25"/>
      <c r="L889" s="1" t="str">
        <f t="shared" si="62"/>
        <v/>
      </c>
      <c r="M889" s="1" t="str">
        <f t="shared" si="63"/>
        <v/>
      </c>
      <c r="N889" s="26"/>
      <c r="S889" s="27" t="str">
        <f t="shared" si="64"/>
        <v/>
      </c>
      <c r="T889" s="28" t="str">
        <f t="shared" si="65"/>
        <v/>
      </c>
      <c r="V889" t="str">
        <f t="shared" si="66"/>
        <v/>
      </c>
    </row>
    <row r="890" spans="1:22">
      <c r="A890" s="6"/>
      <c r="H890" s="25"/>
      <c r="I890" s="25"/>
      <c r="J890" s="25"/>
      <c r="K890" s="25"/>
      <c r="L890" s="1" t="str">
        <f t="shared" si="62"/>
        <v/>
      </c>
      <c r="M890" s="1" t="str">
        <f t="shared" si="63"/>
        <v/>
      </c>
      <c r="N890" s="26"/>
      <c r="S890" s="27" t="str">
        <f t="shared" si="64"/>
        <v/>
      </c>
      <c r="T890" s="28" t="str">
        <f t="shared" si="65"/>
        <v/>
      </c>
      <c r="V890" t="str">
        <f t="shared" si="66"/>
        <v/>
      </c>
    </row>
    <row r="891" spans="1:22">
      <c r="A891" s="6"/>
      <c r="H891" s="25"/>
      <c r="I891" s="25"/>
      <c r="J891" s="25"/>
      <c r="K891" s="25"/>
      <c r="L891" s="1" t="str">
        <f t="shared" si="62"/>
        <v/>
      </c>
      <c r="M891" s="1" t="str">
        <f t="shared" si="63"/>
        <v/>
      </c>
      <c r="N891" s="26"/>
      <c r="S891" s="27" t="str">
        <f t="shared" si="64"/>
        <v/>
      </c>
      <c r="T891" s="28" t="str">
        <f t="shared" si="65"/>
        <v/>
      </c>
      <c r="V891" t="str">
        <f t="shared" si="66"/>
        <v/>
      </c>
    </row>
    <row r="892" spans="1:22">
      <c r="A892" s="6"/>
      <c r="H892" s="25"/>
      <c r="I892" s="25"/>
      <c r="J892" s="25"/>
      <c r="K892" s="25"/>
      <c r="L892" s="1" t="str">
        <f t="shared" si="62"/>
        <v/>
      </c>
      <c r="M892" s="1" t="str">
        <f t="shared" si="63"/>
        <v/>
      </c>
      <c r="N892" s="26"/>
      <c r="S892" s="27" t="str">
        <f t="shared" si="64"/>
        <v/>
      </c>
      <c r="T892" s="28" t="str">
        <f t="shared" si="65"/>
        <v/>
      </c>
      <c r="V892" t="str">
        <f t="shared" si="66"/>
        <v/>
      </c>
    </row>
    <row r="893" spans="1:22">
      <c r="A893" s="6"/>
      <c r="H893" s="25"/>
      <c r="I893" s="25"/>
      <c r="J893" s="25"/>
      <c r="K893" s="25"/>
      <c r="L893" s="1" t="str">
        <f t="shared" si="62"/>
        <v/>
      </c>
      <c r="M893" s="1" t="str">
        <f t="shared" si="63"/>
        <v/>
      </c>
      <c r="N893" s="26"/>
      <c r="S893" s="27" t="str">
        <f t="shared" si="64"/>
        <v/>
      </c>
      <c r="T893" s="28" t="str">
        <f t="shared" si="65"/>
        <v/>
      </c>
      <c r="V893" t="str">
        <f t="shared" si="66"/>
        <v/>
      </c>
    </row>
    <row r="894" spans="1:22">
      <c r="A894" s="6"/>
      <c r="H894" s="25"/>
      <c r="I894" s="25"/>
      <c r="J894" s="25"/>
      <c r="K894" s="25"/>
      <c r="L894" s="1" t="str">
        <f t="shared" si="62"/>
        <v/>
      </c>
      <c r="M894" s="1" t="str">
        <f t="shared" si="63"/>
        <v/>
      </c>
      <c r="N894" s="26"/>
      <c r="S894" s="27" t="str">
        <f t="shared" si="64"/>
        <v/>
      </c>
      <c r="T894" s="28" t="str">
        <f t="shared" si="65"/>
        <v/>
      </c>
      <c r="V894" t="str">
        <f t="shared" si="66"/>
        <v/>
      </c>
    </row>
    <row r="895" spans="1:22">
      <c r="A895" s="6"/>
      <c r="H895" s="25"/>
      <c r="I895" s="25"/>
      <c r="J895" s="25"/>
      <c r="K895" s="25"/>
      <c r="L895" s="1" t="str">
        <f t="shared" si="62"/>
        <v/>
      </c>
      <c r="M895" s="1" t="str">
        <f t="shared" si="63"/>
        <v/>
      </c>
      <c r="N895" s="26"/>
      <c r="S895" s="27" t="str">
        <f t="shared" si="64"/>
        <v/>
      </c>
      <c r="T895" s="28" t="str">
        <f t="shared" si="65"/>
        <v/>
      </c>
      <c r="V895" t="str">
        <f t="shared" si="66"/>
        <v/>
      </c>
    </row>
    <row r="896" spans="1:22">
      <c r="A896" s="6"/>
      <c r="H896" s="25"/>
      <c r="I896" s="25"/>
      <c r="J896" s="25"/>
      <c r="K896" s="25"/>
      <c r="L896" s="1" t="str">
        <f t="shared" si="62"/>
        <v/>
      </c>
      <c r="M896" s="1" t="str">
        <f t="shared" si="63"/>
        <v/>
      </c>
      <c r="N896" s="26"/>
      <c r="S896" s="27" t="str">
        <f t="shared" si="64"/>
        <v/>
      </c>
      <c r="T896" s="28" t="str">
        <f t="shared" si="65"/>
        <v/>
      </c>
      <c r="V896" t="str">
        <f t="shared" si="66"/>
        <v/>
      </c>
    </row>
    <row r="897" spans="1:22">
      <c r="A897" s="6"/>
      <c r="H897" s="25"/>
      <c r="I897" s="25"/>
      <c r="J897" s="25"/>
      <c r="K897" s="25"/>
      <c r="L897" s="1" t="str">
        <f t="shared" si="62"/>
        <v/>
      </c>
      <c r="M897" s="1" t="str">
        <f t="shared" si="63"/>
        <v/>
      </c>
      <c r="N897" s="26"/>
      <c r="S897" s="27" t="str">
        <f t="shared" si="64"/>
        <v/>
      </c>
      <c r="T897" s="28" t="str">
        <f t="shared" si="65"/>
        <v/>
      </c>
      <c r="V897" t="str">
        <f t="shared" si="66"/>
        <v/>
      </c>
    </row>
    <row r="898" spans="1:22">
      <c r="A898" s="6"/>
      <c r="H898" s="25"/>
      <c r="I898" s="25"/>
      <c r="J898" s="25"/>
      <c r="K898" s="25"/>
      <c r="L898" s="1" t="str">
        <f t="shared" ref="L898:L961" si="67">IF($A898="","",IF(AND(ISNUMBER($H898),ISNUMBER($K898)),MOD($K898-$H898,1),""))</f>
        <v/>
      </c>
      <c r="M898" s="1" t="str">
        <f t="shared" ref="M898:M961" si="68">IF($A898="","",IF(AND(ISNUMBER($I898),ISNUMBER($J898)),MOD($J898-$I898,1),""))</f>
        <v/>
      </c>
      <c r="N898" s="26"/>
      <c r="S898" s="27" t="str">
        <f t="shared" si="64"/>
        <v/>
      </c>
      <c r="T898" s="28" t="str">
        <f t="shared" si="65"/>
        <v/>
      </c>
      <c r="V898" t="str">
        <f t="shared" si="66"/>
        <v/>
      </c>
    </row>
    <row r="899" spans="1:22">
      <c r="A899" s="6"/>
      <c r="H899" s="25"/>
      <c r="I899" s="25"/>
      <c r="J899" s="25"/>
      <c r="K899" s="25"/>
      <c r="L899" s="1" t="str">
        <f t="shared" si="67"/>
        <v/>
      </c>
      <c r="M899" s="1" t="str">
        <f t="shared" si="68"/>
        <v/>
      </c>
      <c r="N899" s="26"/>
      <c r="S899" s="27" t="str">
        <f t="shared" si="64"/>
        <v/>
      </c>
      <c r="T899" s="28" t="str">
        <f t="shared" si="65"/>
        <v/>
      </c>
      <c r="V899" t="str">
        <f t="shared" si="66"/>
        <v/>
      </c>
    </row>
    <row r="900" spans="1:22">
      <c r="A900" s="6"/>
      <c r="H900" s="25"/>
      <c r="I900" s="25"/>
      <c r="J900" s="25"/>
      <c r="K900" s="25"/>
      <c r="L900" s="1" t="str">
        <f t="shared" si="67"/>
        <v/>
      </c>
      <c r="M900" s="1" t="str">
        <f t="shared" si="68"/>
        <v/>
      </c>
      <c r="N900" s="26"/>
      <c r="S900" s="27" t="str">
        <f t="shared" si="64"/>
        <v/>
      </c>
      <c r="T900" s="28" t="str">
        <f t="shared" si="65"/>
        <v/>
      </c>
      <c r="V900" t="str">
        <f t="shared" si="66"/>
        <v/>
      </c>
    </row>
    <row r="901" spans="1:22">
      <c r="A901" s="6"/>
      <c r="H901" s="25"/>
      <c r="I901" s="25"/>
      <c r="J901" s="25"/>
      <c r="K901" s="25"/>
      <c r="L901" s="1" t="str">
        <f t="shared" si="67"/>
        <v/>
      </c>
      <c r="M901" s="1" t="str">
        <f t="shared" si="68"/>
        <v/>
      </c>
      <c r="N901" s="26"/>
      <c r="S901" s="27" t="str">
        <f t="shared" ref="S901:S964" si="69">IF($C901="","",IF($C901="3344",450,IF($C901="5194",320,IF($C901="6606",290,IF($C901="7430",290,IF($C901="8115",2080,IF($C901="8205",450,IF($C901="8441",260,IF($C901="OK-BIC",3060,IF($C901="OK-BID",3060,IF($C901="OK-BIK",2700,IF($C901="OK-BIL",3060,IF($C901="OK-BIN",3060,IF($C901="OK-BIR",3060,IF($C901="OK-BUG12",2150,IF($C901="OK-CUG23",2370,IF($C901="OK-DAS",5600,IF($C901="OK-DOD",4420,IF($C901="OK-DPH",5000,IF($C901="OK-DUI89",2250,IF($C901="OK-DUI94",4000,IF($C901="OK-EUI10",2250,IF($C901="OK-EUI21",4000,IF($C901="OK-IAF",3060,IF($C901="OK-MPK",3820,IF($C901="OK-NUU90",2080,IF($C901="OK-UUR14",2250,IF($C901="OK-WUS17",3500,IF($C901="OK-XAI04",1860,"")))))))))))))))))))))))))))))</f>
        <v/>
      </c>
      <c r="T901" s="28" t="str">
        <f t="shared" si="65"/>
        <v/>
      </c>
      <c r="V901" t="str">
        <f t="shared" si="66"/>
        <v/>
      </c>
    </row>
    <row r="902" spans="1:22">
      <c r="A902" s="6"/>
      <c r="H902" s="25"/>
      <c r="I902" s="25"/>
      <c r="J902" s="25"/>
      <c r="K902" s="25"/>
      <c r="L902" s="1" t="str">
        <f t="shared" si="67"/>
        <v/>
      </c>
      <c r="M902" s="1" t="str">
        <f t="shared" si="68"/>
        <v/>
      </c>
      <c r="N902" s="26"/>
      <c r="S902" s="27" t="str">
        <f t="shared" si="69"/>
        <v/>
      </c>
      <c r="T902" s="28" t="str">
        <f t="shared" si="65"/>
        <v/>
      </c>
      <c r="V902" t="str">
        <f t="shared" si="66"/>
        <v/>
      </c>
    </row>
    <row r="903" spans="1:22">
      <c r="A903" s="6"/>
      <c r="H903" s="25"/>
      <c r="I903" s="25"/>
      <c r="J903" s="25"/>
      <c r="K903" s="25"/>
      <c r="L903" s="1" t="str">
        <f t="shared" si="67"/>
        <v/>
      </c>
      <c r="M903" s="1" t="str">
        <f t="shared" si="68"/>
        <v/>
      </c>
      <c r="N903" s="26"/>
      <c r="S903" s="27" t="str">
        <f t="shared" si="69"/>
        <v/>
      </c>
      <c r="T903" s="28" t="str">
        <f t="shared" si="65"/>
        <v/>
      </c>
      <c r="V903" t="str">
        <f t="shared" si="66"/>
        <v/>
      </c>
    </row>
    <row r="904" spans="1:22">
      <c r="A904" s="6"/>
      <c r="H904" s="25"/>
      <c r="I904" s="25"/>
      <c r="J904" s="25"/>
      <c r="K904" s="25"/>
      <c r="L904" s="1" t="str">
        <f t="shared" si="67"/>
        <v/>
      </c>
      <c r="M904" s="1" t="str">
        <f t="shared" si="68"/>
        <v/>
      </c>
      <c r="N904" s="26"/>
      <c r="S904" s="27" t="str">
        <f t="shared" si="69"/>
        <v/>
      </c>
      <c r="T904" s="28" t="str">
        <f t="shared" si="65"/>
        <v/>
      </c>
      <c r="V904" t="str">
        <f t="shared" si="66"/>
        <v/>
      </c>
    </row>
    <row r="905" spans="1:22">
      <c r="A905" s="6"/>
      <c r="H905" s="25"/>
      <c r="I905" s="25"/>
      <c r="J905" s="25"/>
      <c r="K905" s="25"/>
      <c r="L905" s="1" t="str">
        <f t="shared" si="67"/>
        <v/>
      </c>
      <c r="M905" s="1" t="str">
        <f t="shared" si="68"/>
        <v/>
      </c>
      <c r="N905" s="26"/>
      <c r="S905" s="27" t="str">
        <f t="shared" si="69"/>
        <v/>
      </c>
      <c r="T905" s="28" t="str">
        <f t="shared" si="65"/>
        <v/>
      </c>
      <c r="V905" t="str">
        <f t="shared" si="66"/>
        <v/>
      </c>
    </row>
    <row r="906" spans="1:22">
      <c r="A906" s="6"/>
      <c r="H906" s="25"/>
      <c r="I906" s="25"/>
      <c r="J906" s="25"/>
      <c r="K906" s="25"/>
      <c r="L906" s="1" t="str">
        <f t="shared" si="67"/>
        <v/>
      </c>
      <c r="M906" s="1" t="str">
        <f t="shared" si="68"/>
        <v/>
      </c>
      <c r="N906" s="26"/>
      <c r="S906" s="27" t="str">
        <f t="shared" si="69"/>
        <v/>
      </c>
      <c r="T906" s="28" t="str">
        <f t="shared" si="65"/>
        <v/>
      </c>
      <c r="V906" t="str">
        <f t="shared" si="66"/>
        <v/>
      </c>
    </row>
    <row r="907" spans="1:22">
      <c r="A907" s="6"/>
      <c r="H907" s="25"/>
      <c r="I907" s="25"/>
      <c r="J907" s="25"/>
      <c r="K907" s="25"/>
      <c r="L907" s="1" t="str">
        <f t="shared" si="67"/>
        <v/>
      </c>
      <c r="M907" s="1" t="str">
        <f t="shared" si="68"/>
        <v/>
      </c>
      <c r="N907" s="26"/>
      <c r="S907" s="27" t="str">
        <f t="shared" si="69"/>
        <v/>
      </c>
      <c r="T907" s="28" t="str">
        <f t="shared" si="65"/>
        <v/>
      </c>
      <c r="V907" t="str">
        <f t="shared" si="66"/>
        <v/>
      </c>
    </row>
    <row r="908" spans="1:22">
      <c r="A908" s="6"/>
      <c r="H908" s="25"/>
      <c r="I908" s="25"/>
      <c r="J908" s="25"/>
      <c r="K908" s="25"/>
      <c r="L908" s="1" t="str">
        <f t="shared" si="67"/>
        <v/>
      </c>
      <c r="M908" s="1" t="str">
        <f t="shared" si="68"/>
        <v/>
      </c>
      <c r="N908" s="26"/>
      <c r="S908" s="27" t="str">
        <f t="shared" si="69"/>
        <v/>
      </c>
      <c r="T908" s="28" t="str">
        <f t="shared" si="65"/>
        <v/>
      </c>
      <c r="V908" t="str">
        <f t="shared" si="66"/>
        <v/>
      </c>
    </row>
    <row r="909" spans="1:22">
      <c r="A909" s="6"/>
      <c r="H909" s="25"/>
      <c r="I909" s="25"/>
      <c r="J909" s="25"/>
      <c r="K909" s="25"/>
      <c r="L909" s="1" t="str">
        <f t="shared" si="67"/>
        <v/>
      </c>
      <c r="M909" s="1" t="str">
        <f t="shared" si="68"/>
        <v/>
      </c>
      <c r="N909" s="26"/>
      <c r="S909" s="27" t="str">
        <f t="shared" si="69"/>
        <v/>
      </c>
      <c r="T909" s="28" t="str">
        <f t="shared" si="65"/>
        <v/>
      </c>
      <c r="V909" t="str">
        <f t="shared" si="66"/>
        <v/>
      </c>
    </row>
    <row r="910" spans="1:22">
      <c r="A910" s="6"/>
      <c r="H910" s="25"/>
      <c r="I910" s="25"/>
      <c r="J910" s="25"/>
      <c r="K910" s="25"/>
      <c r="L910" s="1" t="str">
        <f t="shared" si="67"/>
        <v/>
      </c>
      <c r="M910" s="1" t="str">
        <f t="shared" si="68"/>
        <v/>
      </c>
      <c r="N910" s="26"/>
      <c r="S910" s="27" t="str">
        <f t="shared" si="69"/>
        <v/>
      </c>
      <c r="T910" s="28" t="str">
        <f t="shared" si="65"/>
        <v/>
      </c>
      <c r="V910" t="str">
        <f t="shared" si="66"/>
        <v/>
      </c>
    </row>
    <row r="911" spans="1:22">
      <c r="A911" s="6"/>
      <c r="H911" s="25"/>
      <c r="I911" s="25"/>
      <c r="J911" s="25"/>
      <c r="K911" s="25"/>
      <c r="L911" s="1" t="str">
        <f t="shared" si="67"/>
        <v/>
      </c>
      <c r="M911" s="1" t="str">
        <f t="shared" si="68"/>
        <v/>
      </c>
      <c r="N911" s="26"/>
      <c r="S911" s="27" t="str">
        <f t="shared" si="69"/>
        <v/>
      </c>
      <c r="T911" s="28" t="str">
        <f t="shared" si="65"/>
        <v/>
      </c>
      <c r="V911" t="str">
        <f t="shared" si="66"/>
        <v/>
      </c>
    </row>
    <row r="912" spans="1:22">
      <c r="A912" s="6"/>
      <c r="H912" s="25"/>
      <c r="I912" s="25"/>
      <c r="J912" s="25"/>
      <c r="K912" s="25"/>
      <c r="L912" s="1" t="str">
        <f t="shared" si="67"/>
        <v/>
      </c>
      <c r="M912" s="1" t="str">
        <f t="shared" si="68"/>
        <v/>
      </c>
      <c r="N912" s="26"/>
      <c r="S912" s="27" t="str">
        <f t="shared" si="69"/>
        <v/>
      </c>
      <c r="T912" s="28" t="str">
        <f t="shared" si="65"/>
        <v/>
      </c>
      <c r="V912" t="str">
        <f t="shared" si="66"/>
        <v/>
      </c>
    </row>
    <row r="913" spans="1:22">
      <c r="A913" s="6"/>
      <c r="H913" s="25"/>
      <c r="I913" s="25"/>
      <c r="J913" s="25"/>
      <c r="K913" s="25"/>
      <c r="L913" s="1" t="str">
        <f t="shared" si="67"/>
        <v/>
      </c>
      <c r="M913" s="1" t="str">
        <f t="shared" si="68"/>
        <v/>
      </c>
      <c r="N913" s="26"/>
      <c r="S913" s="27" t="str">
        <f t="shared" si="69"/>
        <v/>
      </c>
      <c r="T913" s="28" t="str">
        <f t="shared" si="65"/>
        <v/>
      </c>
      <c r="V913" t="str">
        <f t="shared" si="66"/>
        <v/>
      </c>
    </row>
    <row r="914" spans="1:22">
      <c r="A914" s="6"/>
      <c r="H914" s="25"/>
      <c r="I914" s="25"/>
      <c r="J914" s="25"/>
      <c r="K914" s="25"/>
      <c r="L914" s="1" t="str">
        <f t="shared" si="67"/>
        <v/>
      </c>
      <c r="M914" s="1" t="str">
        <f t="shared" si="68"/>
        <v/>
      </c>
      <c r="N914" s="26"/>
      <c r="S914" s="27" t="str">
        <f t="shared" si="69"/>
        <v/>
      </c>
      <c r="T914" s="28" t="str">
        <f t="shared" si="65"/>
        <v/>
      </c>
      <c r="V914" t="str">
        <f t="shared" si="66"/>
        <v/>
      </c>
    </row>
    <row r="915" spans="1:22">
      <c r="A915" s="6"/>
      <c r="H915" s="25"/>
      <c r="I915" s="25"/>
      <c r="J915" s="25"/>
      <c r="K915" s="25"/>
      <c r="L915" s="1" t="str">
        <f t="shared" si="67"/>
        <v/>
      </c>
      <c r="M915" s="1" t="str">
        <f t="shared" si="68"/>
        <v/>
      </c>
      <c r="N915" s="26"/>
      <c r="S915" s="27" t="str">
        <f t="shared" si="69"/>
        <v/>
      </c>
      <c r="T915" s="28" t="str">
        <f t="shared" si="65"/>
        <v/>
      </c>
      <c r="V915" t="str">
        <f t="shared" si="66"/>
        <v/>
      </c>
    </row>
    <row r="916" spans="1:22">
      <c r="A916" s="6"/>
      <c r="H916" s="25"/>
      <c r="I916" s="25"/>
      <c r="J916" s="25"/>
      <c r="K916" s="25"/>
      <c r="L916" s="1" t="str">
        <f t="shared" si="67"/>
        <v/>
      </c>
      <c r="M916" s="1" t="str">
        <f t="shared" si="68"/>
        <v/>
      </c>
      <c r="N916" s="26"/>
      <c r="S916" s="27" t="str">
        <f t="shared" si="69"/>
        <v/>
      </c>
      <c r="T916" s="28" t="str">
        <f t="shared" ref="T916:T979" si="70">IF($A916="","",IF(OR($S916="", $S916&lt;=0, $L916=""),"",ROUND($L916*24*$S916,2)))</f>
        <v/>
      </c>
      <c r="V916" t="str">
        <f t="shared" ref="V916:V979" si="71">IF($A916="","",IF(OR(YEAR($A916)&lt;2020,YEAR($A916)&gt;2030),"Podezřelé datum",IF(OR($F916="",$G916=""),"Chybí letiště",IF(OR($H916="",$I916="",$J916="",$K916=""),"Chybí čas",IF(OR($H916&gt;$I916,$I916&gt;$J916,$J916&gt;$K916),"Časy mimo pořadí",IF($M916&gt;$L916,"Air &gt; Block",IF(OR($S916="", $S916&lt;=0),"Chybí sazba","OK")))))))</f>
        <v/>
      </c>
    </row>
    <row r="917" spans="1:22">
      <c r="A917" s="6"/>
      <c r="H917" s="25"/>
      <c r="I917" s="25"/>
      <c r="J917" s="25"/>
      <c r="K917" s="25"/>
      <c r="L917" s="1" t="str">
        <f t="shared" si="67"/>
        <v/>
      </c>
      <c r="M917" s="1" t="str">
        <f t="shared" si="68"/>
        <v/>
      </c>
      <c r="N917" s="26"/>
      <c r="S917" s="27" t="str">
        <f t="shared" si="69"/>
        <v/>
      </c>
      <c r="T917" s="28" t="str">
        <f t="shared" si="70"/>
        <v/>
      </c>
      <c r="V917" t="str">
        <f t="shared" si="71"/>
        <v/>
      </c>
    </row>
    <row r="918" spans="1:22">
      <c r="A918" s="6"/>
      <c r="H918" s="25"/>
      <c r="I918" s="25"/>
      <c r="J918" s="25"/>
      <c r="K918" s="25"/>
      <c r="L918" s="1" t="str">
        <f t="shared" si="67"/>
        <v/>
      </c>
      <c r="M918" s="1" t="str">
        <f t="shared" si="68"/>
        <v/>
      </c>
      <c r="N918" s="26"/>
      <c r="S918" s="27" t="str">
        <f t="shared" si="69"/>
        <v/>
      </c>
      <c r="T918" s="28" t="str">
        <f t="shared" si="70"/>
        <v/>
      </c>
      <c r="V918" t="str">
        <f t="shared" si="71"/>
        <v/>
      </c>
    </row>
    <row r="919" spans="1:22">
      <c r="A919" s="6"/>
      <c r="H919" s="25"/>
      <c r="I919" s="25"/>
      <c r="J919" s="25"/>
      <c r="K919" s="25"/>
      <c r="L919" s="1" t="str">
        <f t="shared" si="67"/>
        <v/>
      </c>
      <c r="M919" s="1" t="str">
        <f t="shared" si="68"/>
        <v/>
      </c>
      <c r="N919" s="26"/>
      <c r="S919" s="27" t="str">
        <f t="shared" si="69"/>
        <v/>
      </c>
      <c r="T919" s="28" t="str">
        <f t="shared" si="70"/>
        <v/>
      </c>
      <c r="V919" t="str">
        <f t="shared" si="71"/>
        <v/>
      </c>
    </row>
    <row r="920" spans="1:22">
      <c r="A920" s="6"/>
      <c r="H920" s="25"/>
      <c r="I920" s="25"/>
      <c r="J920" s="25"/>
      <c r="K920" s="25"/>
      <c r="L920" s="1" t="str">
        <f t="shared" si="67"/>
        <v/>
      </c>
      <c r="M920" s="1" t="str">
        <f t="shared" si="68"/>
        <v/>
      </c>
      <c r="N920" s="26"/>
      <c r="S920" s="27" t="str">
        <f t="shared" si="69"/>
        <v/>
      </c>
      <c r="T920" s="28" t="str">
        <f t="shared" si="70"/>
        <v/>
      </c>
      <c r="V920" t="str">
        <f t="shared" si="71"/>
        <v/>
      </c>
    </row>
    <row r="921" spans="1:22">
      <c r="A921" s="6"/>
      <c r="H921" s="25"/>
      <c r="I921" s="25"/>
      <c r="J921" s="25"/>
      <c r="K921" s="25"/>
      <c r="L921" s="1" t="str">
        <f t="shared" si="67"/>
        <v/>
      </c>
      <c r="M921" s="1" t="str">
        <f t="shared" si="68"/>
        <v/>
      </c>
      <c r="N921" s="26"/>
      <c r="S921" s="27" t="str">
        <f t="shared" si="69"/>
        <v/>
      </c>
      <c r="T921" s="28" t="str">
        <f t="shared" si="70"/>
        <v/>
      </c>
      <c r="V921" t="str">
        <f t="shared" si="71"/>
        <v/>
      </c>
    </row>
    <row r="922" spans="1:22">
      <c r="A922" s="6"/>
      <c r="H922" s="25"/>
      <c r="I922" s="25"/>
      <c r="J922" s="25"/>
      <c r="K922" s="25"/>
      <c r="L922" s="1" t="str">
        <f t="shared" si="67"/>
        <v/>
      </c>
      <c r="M922" s="1" t="str">
        <f t="shared" si="68"/>
        <v/>
      </c>
      <c r="N922" s="26"/>
      <c r="S922" s="27" t="str">
        <f t="shared" si="69"/>
        <v/>
      </c>
      <c r="T922" s="28" t="str">
        <f t="shared" si="70"/>
        <v/>
      </c>
      <c r="V922" t="str">
        <f t="shared" si="71"/>
        <v/>
      </c>
    </row>
    <row r="923" spans="1:22">
      <c r="A923" s="6"/>
      <c r="H923" s="25"/>
      <c r="I923" s="25"/>
      <c r="J923" s="25"/>
      <c r="K923" s="25"/>
      <c r="L923" s="1" t="str">
        <f t="shared" si="67"/>
        <v/>
      </c>
      <c r="M923" s="1" t="str">
        <f t="shared" si="68"/>
        <v/>
      </c>
      <c r="N923" s="26"/>
      <c r="S923" s="27" t="str">
        <f t="shared" si="69"/>
        <v/>
      </c>
      <c r="T923" s="28" t="str">
        <f t="shared" si="70"/>
        <v/>
      </c>
      <c r="V923" t="str">
        <f t="shared" si="71"/>
        <v/>
      </c>
    </row>
    <row r="924" spans="1:22">
      <c r="A924" s="6"/>
      <c r="H924" s="25"/>
      <c r="I924" s="25"/>
      <c r="J924" s="25"/>
      <c r="K924" s="25"/>
      <c r="L924" s="1" t="str">
        <f t="shared" si="67"/>
        <v/>
      </c>
      <c r="M924" s="1" t="str">
        <f t="shared" si="68"/>
        <v/>
      </c>
      <c r="N924" s="26"/>
      <c r="S924" s="27" t="str">
        <f t="shared" si="69"/>
        <v/>
      </c>
      <c r="T924" s="28" t="str">
        <f t="shared" si="70"/>
        <v/>
      </c>
      <c r="V924" t="str">
        <f t="shared" si="71"/>
        <v/>
      </c>
    </row>
    <row r="925" spans="1:22">
      <c r="A925" s="6"/>
      <c r="H925" s="25"/>
      <c r="I925" s="25"/>
      <c r="J925" s="25"/>
      <c r="K925" s="25"/>
      <c r="L925" s="1" t="str">
        <f t="shared" si="67"/>
        <v/>
      </c>
      <c r="M925" s="1" t="str">
        <f t="shared" si="68"/>
        <v/>
      </c>
      <c r="N925" s="26"/>
      <c r="S925" s="27" t="str">
        <f t="shared" si="69"/>
        <v/>
      </c>
      <c r="T925" s="28" t="str">
        <f t="shared" si="70"/>
        <v/>
      </c>
      <c r="V925" t="str">
        <f t="shared" si="71"/>
        <v/>
      </c>
    </row>
    <row r="926" spans="1:22">
      <c r="A926" s="6"/>
      <c r="H926" s="25"/>
      <c r="I926" s="25"/>
      <c r="J926" s="25"/>
      <c r="K926" s="25"/>
      <c r="L926" s="1" t="str">
        <f t="shared" si="67"/>
        <v/>
      </c>
      <c r="M926" s="1" t="str">
        <f t="shared" si="68"/>
        <v/>
      </c>
      <c r="N926" s="26"/>
      <c r="S926" s="27" t="str">
        <f t="shared" si="69"/>
        <v/>
      </c>
      <c r="T926" s="28" t="str">
        <f t="shared" si="70"/>
        <v/>
      </c>
      <c r="V926" t="str">
        <f t="shared" si="71"/>
        <v/>
      </c>
    </row>
    <row r="927" spans="1:22">
      <c r="A927" s="6"/>
      <c r="H927" s="25"/>
      <c r="I927" s="25"/>
      <c r="J927" s="25"/>
      <c r="K927" s="25"/>
      <c r="L927" s="1" t="str">
        <f t="shared" si="67"/>
        <v/>
      </c>
      <c r="M927" s="1" t="str">
        <f t="shared" si="68"/>
        <v/>
      </c>
      <c r="N927" s="26"/>
      <c r="S927" s="27" t="str">
        <f t="shared" si="69"/>
        <v/>
      </c>
      <c r="T927" s="28" t="str">
        <f t="shared" si="70"/>
        <v/>
      </c>
      <c r="V927" t="str">
        <f t="shared" si="71"/>
        <v/>
      </c>
    </row>
    <row r="928" spans="1:22">
      <c r="A928" s="6"/>
      <c r="H928" s="25"/>
      <c r="I928" s="25"/>
      <c r="J928" s="25"/>
      <c r="K928" s="25"/>
      <c r="L928" s="1" t="str">
        <f t="shared" si="67"/>
        <v/>
      </c>
      <c r="M928" s="1" t="str">
        <f t="shared" si="68"/>
        <v/>
      </c>
      <c r="N928" s="26"/>
      <c r="S928" s="27" t="str">
        <f t="shared" si="69"/>
        <v/>
      </c>
      <c r="T928" s="28" t="str">
        <f t="shared" si="70"/>
        <v/>
      </c>
      <c r="V928" t="str">
        <f t="shared" si="71"/>
        <v/>
      </c>
    </row>
    <row r="929" spans="1:22">
      <c r="A929" s="6"/>
      <c r="H929" s="25"/>
      <c r="I929" s="25"/>
      <c r="J929" s="25"/>
      <c r="K929" s="25"/>
      <c r="L929" s="1" t="str">
        <f t="shared" si="67"/>
        <v/>
      </c>
      <c r="M929" s="1" t="str">
        <f t="shared" si="68"/>
        <v/>
      </c>
      <c r="N929" s="26"/>
      <c r="S929" s="27" t="str">
        <f t="shared" si="69"/>
        <v/>
      </c>
      <c r="T929" s="28" t="str">
        <f t="shared" si="70"/>
        <v/>
      </c>
      <c r="V929" t="str">
        <f t="shared" si="71"/>
        <v/>
      </c>
    </row>
    <row r="930" spans="1:22">
      <c r="A930" s="6"/>
      <c r="H930" s="25"/>
      <c r="I930" s="25"/>
      <c r="J930" s="25"/>
      <c r="K930" s="25"/>
      <c r="L930" s="1" t="str">
        <f t="shared" si="67"/>
        <v/>
      </c>
      <c r="M930" s="1" t="str">
        <f t="shared" si="68"/>
        <v/>
      </c>
      <c r="N930" s="26"/>
      <c r="S930" s="27" t="str">
        <f t="shared" si="69"/>
        <v/>
      </c>
      <c r="T930" s="28" t="str">
        <f t="shared" si="70"/>
        <v/>
      </c>
      <c r="V930" t="str">
        <f t="shared" si="71"/>
        <v/>
      </c>
    </row>
    <row r="931" spans="1:22">
      <c r="A931" s="6"/>
      <c r="H931" s="25"/>
      <c r="I931" s="25"/>
      <c r="J931" s="25"/>
      <c r="K931" s="25"/>
      <c r="L931" s="1" t="str">
        <f t="shared" si="67"/>
        <v/>
      </c>
      <c r="M931" s="1" t="str">
        <f t="shared" si="68"/>
        <v/>
      </c>
      <c r="N931" s="26"/>
      <c r="S931" s="27" t="str">
        <f t="shared" si="69"/>
        <v/>
      </c>
      <c r="T931" s="28" t="str">
        <f t="shared" si="70"/>
        <v/>
      </c>
      <c r="V931" t="str">
        <f t="shared" si="71"/>
        <v/>
      </c>
    </row>
    <row r="932" spans="1:22">
      <c r="A932" s="6"/>
      <c r="H932" s="25"/>
      <c r="I932" s="25"/>
      <c r="J932" s="25"/>
      <c r="K932" s="25"/>
      <c r="L932" s="1" t="str">
        <f t="shared" si="67"/>
        <v/>
      </c>
      <c r="M932" s="1" t="str">
        <f t="shared" si="68"/>
        <v/>
      </c>
      <c r="N932" s="26"/>
      <c r="S932" s="27" t="str">
        <f t="shared" si="69"/>
        <v/>
      </c>
      <c r="T932" s="28" t="str">
        <f t="shared" si="70"/>
        <v/>
      </c>
      <c r="V932" t="str">
        <f t="shared" si="71"/>
        <v/>
      </c>
    </row>
    <row r="933" spans="1:22">
      <c r="A933" s="6"/>
      <c r="H933" s="25"/>
      <c r="I933" s="25"/>
      <c r="J933" s="25"/>
      <c r="K933" s="25"/>
      <c r="L933" s="1" t="str">
        <f t="shared" si="67"/>
        <v/>
      </c>
      <c r="M933" s="1" t="str">
        <f t="shared" si="68"/>
        <v/>
      </c>
      <c r="N933" s="26"/>
      <c r="S933" s="27" t="str">
        <f t="shared" si="69"/>
        <v/>
      </c>
      <c r="T933" s="28" t="str">
        <f t="shared" si="70"/>
        <v/>
      </c>
      <c r="V933" t="str">
        <f t="shared" si="71"/>
        <v/>
      </c>
    </row>
    <row r="934" spans="1:22">
      <c r="A934" s="6"/>
      <c r="H934" s="25"/>
      <c r="I934" s="25"/>
      <c r="J934" s="25"/>
      <c r="K934" s="25"/>
      <c r="L934" s="1" t="str">
        <f t="shared" si="67"/>
        <v/>
      </c>
      <c r="M934" s="1" t="str">
        <f t="shared" si="68"/>
        <v/>
      </c>
      <c r="N934" s="26"/>
      <c r="S934" s="27" t="str">
        <f t="shared" si="69"/>
        <v/>
      </c>
      <c r="T934" s="28" t="str">
        <f t="shared" si="70"/>
        <v/>
      </c>
      <c r="V934" t="str">
        <f t="shared" si="71"/>
        <v/>
      </c>
    </row>
    <row r="935" spans="1:22">
      <c r="A935" s="6"/>
      <c r="H935" s="25"/>
      <c r="I935" s="25"/>
      <c r="J935" s="25"/>
      <c r="K935" s="25"/>
      <c r="L935" s="1" t="str">
        <f t="shared" si="67"/>
        <v/>
      </c>
      <c r="M935" s="1" t="str">
        <f t="shared" si="68"/>
        <v/>
      </c>
      <c r="N935" s="26"/>
      <c r="S935" s="27" t="str">
        <f t="shared" si="69"/>
        <v/>
      </c>
      <c r="T935" s="28" t="str">
        <f t="shared" si="70"/>
        <v/>
      </c>
      <c r="V935" t="str">
        <f t="shared" si="71"/>
        <v/>
      </c>
    </row>
    <row r="936" spans="1:22">
      <c r="A936" s="6"/>
      <c r="H936" s="25"/>
      <c r="I936" s="25"/>
      <c r="J936" s="25"/>
      <c r="K936" s="25"/>
      <c r="L936" s="1" t="str">
        <f t="shared" si="67"/>
        <v/>
      </c>
      <c r="M936" s="1" t="str">
        <f t="shared" si="68"/>
        <v/>
      </c>
      <c r="N936" s="26"/>
      <c r="S936" s="27" t="str">
        <f t="shared" si="69"/>
        <v/>
      </c>
      <c r="T936" s="28" t="str">
        <f t="shared" si="70"/>
        <v/>
      </c>
      <c r="V936" t="str">
        <f t="shared" si="71"/>
        <v/>
      </c>
    </row>
    <row r="937" spans="1:22">
      <c r="A937" s="6"/>
      <c r="H937" s="25"/>
      <c r="I937" s="25"/>
      <c r="J937" s="25"/>
      <c r="K937" s="25"/>
      <c r="L937" s="1" t="str">
        <f t="shared" si="67"/>
        <v/>
      </c>
      <c r="M937" s="1" t="str">
        <f t="shared" si="68"/>
        <v/>
      </c>
      <c r="N937" s="26"/>
      <c r="S937" s="27" t="str">
        <f t="shared" si="69"/>
        <v/>
      </c>
      <c r="T937" s="28" t="str">
        <f t="shared" si="70"/>
        <v/>
      </c>
      <c r="V937" t="str">
        <f t="shared" si="71"/>
        <v/>
      </c>
    </row>
    <row r="938" spans="1:22">
      <c r="A938" s="6"/>
      <c r="H938" s="25"/>
      <c r="I938" s="25"/>
      <c r="J938" s="25"/>
      <c r="K938" s="25"/>
      <c r="L938" s="1" t="str">
        <f t="shared" si="67"/>
        <v/>
      </c>
      <c r="M938" s="1" t="str">
        <f t="shared" si="68"/>
        <v/>
      </c>
      <c r="N938" s="26"/>
      <c r="S938" s="27" t="str">
        <f t="shared" si="69"/>
        <v/>
      </c>
      <c r="T938" s="28" t="str">
        <f t="shared" si="70"/>
        <v/>
      </c>
      <c r="V938" t="str">
        <f t="shared" si="71"/>
        <v/>
      </c>
    </row>
    <row r="939" spans="1:22">
      <c r="A939" s="6"/>
      <c r="H939" s="25"/>
      <c r="I939" s="25"/>
      <c r="J939" s="25"/>
      <c r="K939" s="25"/>
      <c r="L939" s="1" t="str">
        <f t="shared" si="67"/>
        <v/>
      </c>
      <c r="M939" s="1" t="str">
        <f t="shared" si="68"/>
        <v/>
      </c>
      <c r="N939" s="26"/>
      <c r="S939" s="27" t="str">
        <f t="shared" si="69"/>
        <v/>
      </c>
      <c r="T939" s="28" t="str">
        <f t="shared" si="70"/>
        <v/>
      </c>
      <c r="V939" t="str">
        <f t="shared" si="71"/>
        <v/>
      </c>
    </row>
    <row r="940" spans="1:22">
      <c r="A940" s="6"/>
      <c r="H940" s="25"/>
      <c r="I940" s="25"/>
      <c r="J940" s="25"/>
      <c r="K940" s="25"/>
      <c r="L940" s="1" t="str">
        <f t="shared" si="67"/>
        <v/>
      </c>
      <c r="M940" s="1" t="str">
        <f t="shared" si="68"/>
        <v/>
      </c>
      <c r="N940" s="26"/>
      <c r="S940" s="27" t="str">
        <f t="shared" si="69"/>
        <v/>
      </c>
      <c r="T940" s="28" t="str">
        <f t="shared" si="70"/>
        <v/>
      </c>
      <c r="V940" t="str">
        <f t="shared" si="71"/>
        <v/>
      </c>
    </row>
    <row r="941" spans="1:22">
      <c r="A941" s="6"/>
      <c r="H941" s="25"/>
      <c r="I941" s="25"/>
      <c r="J941" s="25"/>
      <c r="K941" s="25"/>
      <c r="L941" s="1" t="str">
        <f t="shared" si="67"/>
        <v/>
      </c>
      <c r="M941" s="1" t="str">
        <f t="shared" si="68"/>
        <v/>
      </c>
      <c r="N941" s="26"/>
      <c r="S941" s="27" t="str">
        <f t="shared" si="69"/>
        <v/>
      </c>
      <c r="T941" s="28" t="str">
        <f t="shared" si="70"/>
        <v/>
      </c>
      <c r="V941" t="str">
        <f t="shared" si="71"/>
        <v/>
      </c>
    </row>
    <row r="942" spans="1:22">
      <c r="A942" s="6"/>
      <c r="H942" s="25"/>
      <c r="I942" s="25"/>
      <c r="J942" s="25"/>
      <c r="K942" s="25"/>
      <c r="L942" s="1" t="str">
        <f t="shared" si="67"/>
        <v/>
      </c>
      <c r="M942" s="1" t="str">
        <f t="shared" si="68"/>
        <v/>
      </c>
      <c r="N942" s="26"/>
      <c r="S942" s="27" t="str">
        <f t="shared" si="69"/>
        <v/>
      </c>
      <c r="T942" s="28" t="str">
        <f t="shared" si="70"/>
        <v/>
      </c>
      <c r="V942" t="str">
        <f t="shared" si="71"/>
        <v/>
      </c>
    </row>
    <row r="943" spans="1:22">
      <c r="A943" s="6"/>
      <c r="H943" s="25"/>
      <c r="I943" s="25"/>
      <c r="J943" s="25"/>
      <c r="K943" s="25"/>
      <c r="L943" s="1" t="str">
        <f t="shared" si="67"/>
        <v/>
      </c>
      <c r="M943" s="1" t="str">
        <f t="shared" si="68"/>
        <v/>
      </c>
      <c r="N943" s="26"/>
      <c r="S943" s="27" t="str">
        <f t="shared" si="69"/>
        <v/>
      </c>
      <c r="T943" s="28" t="str">
        <f t="shared" si="70"/>
        <v/>
      </c>
      <c r="V943" t="str">
        <f t="shared" si="71"/>
        <v/>
      </c>
    </row>
    <row r="944" spans="1:22">
      <c r="A944" s="6"/>
      <c r="H944" s="25"/>
      <c r="I944" s="25"/>
      <c r="J944" s="25"/>
      <c r="K944" s="25"/>
      <c r="L944" s="1" t="str">
        <f t="shared" si="67"/>
        <v/>
      </c>
      <c r="M944" s="1" t="str">
        <f t="shared" si="68"/>
        <v/>
      </c>
      <c r="N944" s="26"/>
      <c r="S944" s="27" t="str">
        <f t="shared" si="69"/>
        <v/>
      </c>
      <c r="T944" s="28" t="str">
        <f t="shared" si="70"/>
        <v/>
      </c>
      <c r="V944" t="str">
        <f t="shared" si="71"/>
        <v/>
      </c>
    </row>
    <row r="945" spans="1:22">
      <c r="A945" s="6"/>
      <c r="H945" s="25"/>
      <c r="I945" s="25"/>
      <c r="J945" s="25"/>
      <c r="K945" s="25"/>
      <c r="L945" s="1" t="str">
        <f t="shared" si="67"/>
        <v/>
      </c>
      <c r="M945" s="1" t="str">
        <f t="shared" si="68"/>
        <v/>
      </c>
      <c r="N945" s="26"/>
      <c r="S945" s="27" t="str">
        <f t="shared" si="69"/>
        <v/>
      </c>
      <c r="T945" s="28" t="str">
        <f t="shared" si="70"/>
        <v/>
      </c>
      <c r="V945" t="str">
        <f t="shared" si="71"/>
        <v/>
      </c>
    </row>
    <row r="946" spans="1:22">
      <c r="A946" s="6"/>
      <c r="H946" s="25"/>
      <c r="I946" s="25"/>
      <c r="J946" s="25"/>
      <c r="K946" s="25"/>
      <c r="L946" s="1" t="str">
        <f t="shared" si="67"/>
        <v/>
      </c>
      <c r="M946" s="1" t="str">
        <f t="shared" si="68"/>
        <v/>
      </c>
      <c r="N946" s="26"/>
      <c r="S946" s="27" t="str">
        <f t="shared" si="69"/>
        <v/>
      </c>
      <c r="T946" s="28" t="str">
        <f t="shared" si="70"/>
        <v/>
      </c>
      <c r="V946" t="str">
        <f t="shared" si="71"/>
        <v/>
      </c>
    </row>
    <row r="947" spans="1:22">
      <c r="A947" s="6"/>
      <c r="H947" s="25"/>
      <c r="I947" s="25"/>
      <c r="J947" s="25"/>
      <c r="K947" s="25"/>
      <c r="L947" s="1" t="str">
        <f t="shared" si="67"/>
        <v/>
      </c>
      <c r="M947" s="1" t="str">
        <f t="shared" si="68"/>
        <v/>
      </c>
      <c r="N947" s="26"/>
      <c r="S947" s="27" t="str">
        <f t="shared" si="69"/>
        <v/>
      </c>
      <c r="T947" s="28" t="str">
        <f t="shared" si="70"/>
        <v/>
      </c>
      <c r="V947" t="str">
        <f t="shared" si="71"/>
        <v/>
      </c>
    </row>
    <row r="948" spans="1:22">
      <c r="A948" s="6"/>
      <c r="H948" s="25"/>
      <c r="I948" s="25"/>
      <c r="J948" s="25"/>
      <c r="K948" s="25"/>
      <c r="L948" s="1" t="str">
        <f t="shared" si="67"/>
        <v/>
      </c>
      <c r="M948" s="1" t="str">
        <f t="shared" si="68"/>
        <v/>
      </c>
      <c r="N948" s="26"/>
      <c r="S948" s="27" t="str">
        <f t="shared" si="69"/>
        <v/>
      </c>
      <c r="T948" s="28" t="str">
        <f t="shared" si="70"/>
        <v/>
      </c>
      <c r="V948" t="str">
        <f t="shared" si="71"/>
        <v/>
      </c>
    </row>
    <row r="949" spans="1:22">
      <c r="A949" s="6"/>
      <c r="H949" s="25"/>
      <c r="I949" s="25"/>
      <c r="J949" s="25"/>
      <c r="K949" s="25"/>
      <c r="L949" s="1" t="str">
        <f t="shared" si="67"/>
        <v/>
      </c>
      <c r="M949" s="1" t="str">
        <f t="shared" si="68"/>
        <v/>
      </c>
      <c r="N949" s="26"/>
      <c r="S949" s="27" t="str">
        <f t="shared" si="69"/>
        <v/>
      </c>
      <c r="T949" s="28" t="str">
        <f t="shared" si="70"/>
        <v/>
      </c>
      <c r="V949" t="str">
        <f t="shared" si="71"/>
        <v/>
      </c>
    </row>
    <row r="950" spans="1:22">
      <c r="A950" s="6"/>
      <c r="H950" s="25"/>
      <c r="I950" s="25"/>
      <c r="J950" s="25"/>
      <c r="K950" s="25"/>
      <c r="L950" s="1" t="str">
        <f t="shared" si="67"/>
        <v/>
      </c>
      <c r="M950" s="1" t="str">
        <f t="shared" si="68"/>
        <v/>
      </c>
      <c r="N950" s="26"/>
      <c r="S950" s="27" t="str">
        <f t="shared" si="69"/>
        <v/>
      </c>
      <c r="T950" s="28" t="str">
        <f t="shared" si="70"/>
        <v/>
      </c>
      <c r="V950" t="str">
        <f t="shared" si="71"/>
        <v/>
      </c>
    </row>
    <row r="951" spans="1:22">
      <c r="A951" s="6"/>
      <c r="H951" s="25"/>
      <c r="I951" s="25"/>
      <c r="J951" s="25"/>
      <c r="K951" s="25"/>
      <c r="L951" s="1" t="str">
        <f t="shared" si="67"/>
        <v/>
      </c>
      <c r="M951" s="1" t="str">
        <f t="shared" si="68"/>
        <v/>
      </c>
      <c r="N951" s="26"/>
      <c r="S951" s="27" t="str">
        <f t="shared" si="69"/>
        <v/>
      </c>
      <c r="T951" s="28" t="str">
        <f t="shared" si="70"/>
        <v/>
      </c>
      <c r="V951" t="str">
        <f t="shared" si="71"/>
        <v/>
      </c>
    </row>
    <row r="952" spans="1:22">
      <c r="A952" s="6"/>
      <c r="H952" s="25"/>
      <c r="I952" s="25"/>
      <c r="J952" s="25"/>
      <c r="K952" s="25"/>
      <c r="L952" s="1" t="str">
        <f t="shared" si="67"/>
        <v/>
      </c>
      <c r="M952" s="1" t="str">
        <f t="shared" si="68"/>
        <v/>
      </c>
      <c r="N952" s="26"/>
      <c r="S952" s="27" t="str">
        <f t="shared" si="69"/>
        <v/>
      </c>
      <c r="T952" s="28" t="str">
        <f t="shared" si="70"/>
        <v/>
      </c>
      <c r="V952" t="str">
        <f t="shared" si="71"/>
        <v/>
      </c>
    </row>
    <row r="953" spans="1:22">
      <c r="A953" s="6"/>
      <c r="H953" s="25"/>
      <c r="I953" s="25"/>
      <c r="J953" s="25"/>
      <c r="K953" s="25"/>
      <c r="L953" s="1" t="str">
        <f t="shared" si="67"/>
        <v/>
      </c>
      <c r="M953" s="1" t="str">
        <f t="shared" si="68"/>
        <v/>
      </c>
      <c r="N953" s="26"/>
      <c r="S953" s="27" t="str">
        <f t="shared" si="69"/>
        <v/>
      </c>
      <c r="T953" s="28" t="str">
        <f t="shared" si="70"/>
        <v/>
      </c>
      <c r="V953" t="str">
        <f t="shared" si="71"/>
        <v/>
      </c>
    </row>
    <row r="954" spans="1:22">
      <c r="A954" s="6"/>
      <c r="H954" s="25"/>
      <c r="I954" s="25"/>
      <c r="J954" s="25"/>
      <c r="K954" s="25"/>
      <c r="L954" s="1" t="str">
        <f t="shared" si="67"/>
        <v/>
      </c>
      <c r="M954" s="1" t="str">
        <f t="shared" si="68"/>
        <v/>
      </c>
      <c r="N954" s="26"/>
      <c r="S954" s="27" t="str">
        <f t="shared" si="69"/>
        <v/>
      </c>
      <c r="T954" s="28" t="str">
        <f t="shared" si="70"/>
        <v/>
      </c>
      <c r="V954" t="str">
        <f t="shared" si="71"/>
        <v/>
      </c>
    </row>
    <row r="955" spans="1:22">
      <c r="A955" s="6"/>
      <c r="H955" s="25"/>
      <c r="I955" s="25"/>
      <c r="J955" s="25"/>
      <c r="K955" s="25"/>
      <c r="L955" s="1" t="str">
        <f t="shared" si="67"/>
        <v/>
      </c>
      <c r="M955" s="1" t="str">
        <f t="shared" si="68"/>
        <v/>
      </c>
      <c r="N955" s="26"/>
      <c r="S955" s="27" t="str">
        <f t="shared" si="69"/>
        <v/>
      </c>
      <c r="T955" s="28" t="str">
        <f t="shared" si="70"/>
        <v/>
      </c>
      <c r="V955" t="str">
        <f t="shared" si="71"/>
        <v/>
      </c>
    </row>
    <row r="956" spans="1:22">
      <c r="A956" s="6"/>
      <c r="H956" s="25"/>
      <c r="I956" s="25"/>
      <c r="J956" s="25"/>
      <c r="K956" s="25"/>
      <c r="L956" s="1" t="str">
        <f t="shared" si="67"/>
        <v/>
      </c>
      <c r="M956" s="1" t="str">
        <f t="shared" si="68"/>
        <v/>
      </c>
      <c r="N956" s="26"/>
      <c r="S956" s="27" t="str">
        <f t="shared" si="69"/>
        <v/>
      </c>
      <c r="T956" s="28" t="str">
        <f t="shared" si="70"/>
        <v/>
      </c>
      <c r="V956" t="str">
        <f t="shared" si="71"/>
        <v/>
      </c>
    </row>
    <row r="957" spans="1:22">
      <c r="A957" s="6"/>
      <c r="H957" s="25"/>
      <c r="I957" s="25"/>
      <c r="J957" s="25"/>
      <c r="K957" s="25"/>
      <c r="L957" s="1" t="str">
        <f t="shared" si="67"/>
        <v/>
      </c>
      <c r="M957" s="1" t="str">
        <f t="shared" si="68"/>
        <v/>
      </c>
      <c r="N957" s="26"/>
      <c r="S957" s="27" t="str">
        <f t="shared" si="69"/>
        <v/>
      </c>
      <c r="T957" s="28" t="str">
        <f t="shared" si="70"/>
        <v/>
      </c>
      <c r="V957" t="str">
        <f t="shared" si="71"/>
        <v/>
      </c>
    </row>
    <row r="958" spans="1:22">
      <c r="A958" s="6"/>
      <c r="H958" s="25"/>
      <c r="I958" s="25"/>
      <c r="J958" s="25"/>
      <c r="K958" s="25"/>
      <c r="L958" s="1" t="str">
        <f t="shared" si="67"/>
        <v/>
      </c>
      <c r="M958" s="1" t="str">
        <f t="shared" si="68"/>
        <v/>
      </c>
      <c r="N958" s="26"/>
      <c r="S958" s="27" t="str">
        <f t="shared" si="69"/>
        <v/>
      </c>
      <c r="T958" s="28" t="str">
        <f t="shared" si="70"/>
        <v/>
      </c>
      <c r="V958" t="str">
        <f t="shared" si="71"/>
        <v/>
      </c>
    </row>
    <row r="959" spans="1:22">
      <c r="A959" s="6"/>
      <c r="H959" s="25"/>
      <c r="I959" s="25"/>
      <c r="J959" s="25"/>
      <c r="K959" s="25"/>
      <c r="L959" s="1" t="str">
        <f t="shared" si="67"/>
        <v/>
      </c>
      <c r="M959" s="1" t="str">
        <f t="shared" si="68"/>
        <v/>
      </c>
      <c r="N959" s="26"/>
      <c r="S959" s="27" t="str">
        <f t="shared" si="69"/>
        <v/>
      </c>
      <c r="T959" s="28" t="str">
        <f t="shared" si="70"/>
        <v/>
      </c>
      <c r="V959" t="str">
        <f t="shared" si="71"/>
        <v/>
      </c>
    </row>
    <row r="960" spans="1:22">
      <c r="A960" s="6"/>
      <c r="H960" s="25"/>
      <c r="I960" s="25"/>
      <c r="J960" s="25"/>
      <c r="K960" s="25"/>
      <c r="L960" s="1" t="str">
        <f t="shared" si="67"/>
        <v/>
      </c>
      <c r="M960" s="1" t="str">
        <f t="shared" si="68"/>
        <v/>
      </c>
      <c r="N960" s="26"/>
      <c r="S960" s="27" t="str">
        <f t="shared" si="69"/>
        <v/>
      </c>
      <c r="T960" s="28" t="str">
        <f t="shared" si="70"/>
        <v/>
      </c>
      <c r="V960" t="str">
        <f t="shared" si="71"/>
        <v/>
      </c>
    </row>
    <row r="961" spans="1:22">
      <c r="A961" s="6"/>
      <c r="H961" s="25"/>
      <c r="I961" s="25"/>
      <c r="J961" s="25"/>
      <c r="K961" s="25"/>
      <c r="L961" s="1" t="str">
        <f t="shared" si="67"/>
        <v/>
      </c>
      <c r="M961" s="1" t="str">
        <f t="shared" si="68"/>
        <v/>
      </c>
      <c r="N961" s="26"/>
      <c r="S961" s="27" t="str">
        <f t="shared" si="69"/>
        <v/>
      </c>
      <c r="T961" s="28" t="str">
        <f t="shared" si="70"/>
        <v/>
      </c>
      <c r="V961" t="str">
        <f t="shared" si="71"/>
        <v/>
      </c>
    </row>
    <row r="962" spans="1:22">
      <c r="A962" s="6"/>
      <c r="H962" s="25"/>
      <c r="I962" s="25"/>
      <c r="J962" s="25"/>
      <c r="K962" s="25"/>
      <c r="L962" s="1" t="str">
        <f t="shared" ref="L962:L1018" si="72">IF($A962="","",IF(AND(ISNUMBER($H962),ISNUMBER($K962)),MOD($K962-$H962,1),""))</f>
        <v/>
      </c>
      <c r="M962" s="1" t="str">
        <f t="shared" ref="M962:M1018" si="73">IF($A962="","",IF(AND(ISNUMBER($I962),ISNUMBER($J962)),MOD($J962-$I962,1),""))</f>
        <v/>
      </c>
      <c r="N962" s="26"/>
      <c r="S962" s="27" t="str">
        <f t="shared" si="69"/>
        <v/>
      </c>
      <c r="T962" s="28" t="str">
        <f t="shared" si="70"/>
        <v/>
      </c>
      <c r="V962" t="str">
        <f t="shared" si="71"/>
        <v/>
      </c>
    </row>
    <row r="963" spans="1:22">
      <c r="A963" s="6"/>
      <c r="H963" s="25"/>
      <c r="I963" s="25"/>
      <c r="J963" s="25"/>
      <c r="K963" s="25"/>
      <c r="L963" s="1" t="str">
        <f t="shared" si="72"/>
        <v/>
      </c>
      <c r="M963" s="1" t="str">
        <f t="shared" si="73"/>
        <v/>
      </c>
      <c r="N963" s="26"/>
      <c r="S963" s="27" t="str">
        <f t="shared" si="69"/>
        <v/>
      </c>
      <c r="T963" s="28" t="str">
        <f t="shared" si="70"/>
        <v/>
      </c>
      <c r="V963" t="str">
        <f t="shared" si="71"/>
        <v/>
      </c>
    </row>
    <row r="964" spans="1:22">
      <c r="A964" s="6"/>
      <c r="H964" s="25"/>
      <c r="I964" s="25"/>
      <c r="J964" s="25"/>
      <c r="K964" s="25"/>
      <c r="L964" s="1" t="str">
        <f t="shared" si="72"/>
        <v/>
      </c>
      <c r="M964" s="1" t="str">
        <f t="shared" si="73"/>
        <v/>
      </c>
      <c r="N964" s="26"/>
      <c r="S964" s="27" t="str">
        <f t="shared" si="69"/>
        <v/>
      </c>
      <c r="T964" s="28" t="str">
        <f t="shared" si="70"/>
        <v/>
      </c>
      <c r="V964" t="str">
        <f t="shared" si="71"/>
        <v/>
      </c>
    </row>
    <row r="965" spans="1:22">
      <c r="A965" s="6"/>
      <c r="H965" s="25"/>
      <c r="I965" s="25"/>
      <c r="J965" s="25"/>
      <c r="K965" s="25"/>
      <c r="L965" s="1" t="str">
        <f t="shared" si="72"/>
        <v/>
      </c>
      <c r="M965" s="1" t="str">
        <f t="shared" si="73"/>
        <v/>
      </c>
      <c r="N965" s="26"/>
      <c r="S965" s="27" t="str">
        <f t="shared" ref="S965:S1018" si="74">IF($C965="","",IF($C965="3344",450,IF($C965="5194",320,IF($C965="6606",290,IF($C965="7430",290,IF($C965="8115",2080,IF($C965="8205",450,IF($C965="8441",260,IF($C965="OK-BIC",3060,IF($C965="OK-BID",3060,IF($C965="OK-BIK",2700,IF($C965="OK-BIL",3060,IF($C965="OK-BIN",3060,IF($C965="OK-BIR",3060,IF($C965="OK-BUG12",2150,IF($C965="OK-CUG23",2370,IF($C965="OK-DAS",5600,IF($C965="OK-DOD",4420,IF($C965="OK-DPH",5000,IF($C965="OK-DUI89",2250,IF($C965="OK-DUI94",4000,IF($C965="OK-EUI10",2250,IF($C965="OK-EUI21",4000,IF($C965="OK-IAF",3060,IF($C965="OK-MPK",3820,IF($C965="OK-NUU90",2080,IF($C965="OK-UUR14",2250,IF($C965="OK-WUS17",3500,IF($C965="OK-XAI04",1860,"")))))))))))))))))))))))))))))</f>
        <v/>
      </c>
      <c r="T965" s="28" t="str">
        <f t="shared" si="70"/>
        <v/>
      </c>
      <c r="V965" t="str">
        <f t="shared" si="71"/>
        <v/>
      </c>
    </row>
    <row r="966" spans="1:22">
      <c r="A966" s="6"/>
      <c r="H966" s="25"/>
      <c r="I966" s="25"/>
      <c r="J966" s="25"/>
      <c r="K966" s="25"/>
      <c r="L966" s="1" t="str">
        <f t="shared" si="72"/>
        <v/>
      </c>
      <c r="M966" s="1" t="str">
        <f t="shared" si="73"/>
        <v/>
      </c>
      <c r="N966" s="26"/>
      <c r="S966" s="27" t="str">
        <f t="shared" si="74"/>
        <v/>
      </c>
      <c r="T966" s="28" t="str">
        <f t="shared" si="70"/>
        <v/>
      </c>
      <c r="V966" t="str">
        <f t="shared" si="71"/>
        <v/>
      </c>
    </row>
    <row r="967" spans="1:22">
      <c r="A967" s="6"/>
      <c r="H967" s="25"/>
      <c r="I967" s="25"/>
      <c r="J967" s="25"/>
      <c r="K967" s="25"/>
      <c r="L967" s="1" t="str">
        <f t="shared" si="72"/>
        <v/>
      </c>
      <c r="M967" s="1" t="str">
        <f t="shared" si="73"/>
        <v/>
      </c>
      <c r="N967" s="26"/>
      <c r="S967" s="27" t="str">
        <f t="shared" si="74"/>
        <v/>
      </c>
      <c r="T967" s="28" t="str">
        <f t="shared" si="70"/>
        <v/>
      </c>
      <c r="V967" t="str">
        <f t="shared" si="71"/>
        <v/>
      </c>
    </row>
    <row r="968" spans="1:22">
      <c r="A968" s="6"/>
      <c r="H968" s="25"/>
      <c r="I968" s="25"/>
      <c r="J968" s="25"/>
      <c r="K968" s="25"/>
      <c r="L968" s="1" t="str">
        <f t="shared" si="72"/>
        <v/>
      </c>
      <c r="M968" s="1" t="str">
        <f t="shared" si="73"/>
        <v/>
      </c>
      <c r="N968" s="26"/>
      <c r="S968" s="27" t="str">
        <f t="shared" si="74"/>
        <v/>
      </c>
      <c r="T968" s="28" t="str">
        <f t="shared" si="70"/>
        <v/>
      </c>
      <c r="V968" t="str">
        <f t="shared" si="71"/>
        <v/>
      </c>
    </row>
    <row r="969" spans="1:22">
      <c r="A969" s="6"/>
      <c r="H969" s="25"/>
      <c r="I969" s="25"/>
      <c r="J969" s="25"/>
      <c r="K969" s="25"/>
      <c r="L969" s="1" t="str">
        <f t="shared" si="72"/>
        <v/>
      </c>
      <c r="M969" s="1" t="str">
        <f t="shared" si="73"/>
        <v/>
      </c>
      <c r="N969" s="26"/>
      <c r="S969" s="27" t="str">
        <f t="shared" si="74"/>
        <v/>
      </c>
      <c r="T969" s="28" t="str">
        <f t="shared" si="70"/>
        <v/>
      </c>
      <c r="V969" t="str">
        <f t="shared" si="71"/>
        <v/>
      </c>
    </row>
    <row r="970" spans="1:22">
      <c r="A970" s="6"/>
      <c r="H970" s="25"/>
      <c r="I970" s="25"/>
      <c r="J970" s="25"/>
      <c r="K970" s="25"/>
      <c r="L970" s="1" t="str">
        <f t="shared" si="72"/>
        <v/>
      </c>
      <c r="M970" s="1" t="str">
        <f t="shared" si="73"/>
        <v/>
      </c>
      <c r="N970" s="26"/>
      <c r="S970" s="27" t="str">
        <f t="shared" si="74"/>
        <v/>
      </c>
      <c r="T970" s="28" t="str">
        <f t="shared" si="70"/>
        <v/>
      </c>
      <c r="V970" t="str">
        <f t="shared" si="71"/>
        <v/>
      </c>
    </row>
    <row r="971" spans="1:22">
      <c r="A971" s="6"/>
      <c r="H971" s="25"/>
      <c r="I971" s="25"/>
      <c r="J971" s="25"/>
      <c r="K971" s="25"/>
      <c r="L971" s="1" t="str">
        <f t="shared" si="72"/>
        <v/>
      </c>
      <c r="M971" s="1" t="str">
        <f t="shared" si="73"/>
        <v/>
      </c>
      <c r="N971" s="26"/>
      <c r="S971" s="27" t="str">
        <f t="shared" si="74"/>
        <v/>
      </c>
      <c r="T971" s="28" t="str">
        <f t="shared" si="70"/>
        <v/>
      </c>
      <c r="V971" t="str">
        <f t="shared" si="71"/>
        <v/>
      </c>
    </row>
    <row r="972" spans="1:22">
      <c r="A972" s="6"/>
      <c r="H972" s="25"/>
      <c r="I972" s="25"/>
      <c r="J972" s="25"/>
      <c r="K972" s="25"/>
      <c r="L972" s="1" t="str">
        <f t="shared" si="72"/>
        <v/>
      </c>
      <c r="M972" s="1" t="str">
        <f t="shared" si="73"/>
        <v/>
      </c>
      <c r="N972" s="26"/>
      <c r="S972" s="27" t="str">
        <f t="shared" si="74"/>
        <v/>
      </c>
      <c r="T972" s="28" t="str">
        <f t="shared" si="70"/>
        <v/>
      </c>
      <c r="V972" t="str">
        <f t="shared" si="71"/>
        <v/>
      </c>
    </row>
    <row r="973" spans="1:22">
      <c r="A973" s="6"/>
      <c r="H973" s="25"/>
      <c r="I973" s="25"/>
      <c r="J973" s="25"/>
      <c r="K973" s="25"/>
      <c r="L973" s="1" t="str">
        <f t="shared" si="72"/>
        <v/>
      </c>
      <c r="M973" s="1" t="str">
        <f t="shared" si="73"/>
        <v/>
      </c>
      <c r="N973" s="26"/>
      <c r="S973" s="27" t="str">
        <f t="shared" si="74"/>
        <v/>
      </c>
      <c r="T973" s="28" t="str">
        <f t="shared" si="70"/>
        <v/>
      </c>
      <c r="V973" t="str">
        <f t="shared" si="71"/>
        <v/>
      </c>
    </row>
    <row r="974" spans="1:22">
      <c r="A974" s="6"/>
      <c r="H974" s="25"/>
      <c r="I974" s="25"/>
      <c r="J974" s="25"/>
      <c r="K974" s="25"/>
      <c r="L974" s="1" t="str">
        <f t="shared" si="72"/>
        <v/>
      </c>
      <c r="M974" s="1" t="str">
        <f t="shared" si="73"/>
        <v/>
      </c>
      <c r="N974" s="26"/>
      <c r="S974" s="27" t="str">
        <f t="shared" si="74"/>
        <v/>
      </c>
      <c r="T974" s="28" t="str">
        <f t="shared" si="70"/>
        <v/>
      </c>
      <c r="V974" t="str">
        <f t="shared" si="71"/>
        <v/>
      </c>
    </row>
    <row r="975" spans="1:22">
      <c r="A975" s="6"/>
      <c r="H975" s="25"/>
      <c r="I975" s="25"/>
      <c r="J975" s="25"/>
      <c r="K975" s="25"/>
      <c r="L975" s="1" t="str">
        <f t="shared" si="72"/>
        <v/>
      </c>
      <c r="M975" s="1" t="str">
        <f t="shared" si="73"/>
        <v/>
      </c>
      <c r="N975" s="26"/>
      <c r="S975" s="27" t="str">
        <f t="shared" si="74"/>
        <v/>
      </c>
      <c r="T975" s="28" t="str">
        <f t="shared" si="70"/>
        <v/>
      </c>
      <c r="V975" t="str">
        <f t="shared" si="71"/>
        <v/>
      </c>
    </row>
    <row r="976" spans="1:22">
      <c r="A976" s="6"/>
      <c r="H976" s="25"/>
      <c r="I976" s="25"/>
      <c r="J976" s="25"/>
      <c r="K976" s="25"/>
      <c r="L976" s="1" t="str">
        <f t="shared" si="72"/>
        <v/>
      </c>
      <c r="M976" s="1" t="str">
        <f t="shared" si="73"/>
        <v/>
      </c>
      <c r="N976" s="26"/>
      <c r="S976" s="27" t="str">
        <f t="shared" si="74"/>
        <v/>
      </c>
      <c r="T976" s="28" t="str">
        <f t="shared" si="70"/>
        <v/>
      </c>
      <c r="V976" t="str">
        <f t="shared" si="71"/>
        <v/>
      </c>
    </row>
    <row r="977" spans="1:22">
      <c r="A977" s="6"/>
      <c r="H977" s="25"/>
      <c r="I977" s="25"/>
      <c r="J977" s="25"/>
      <c r="K977" s="25"/>
      <c r="L977" s="1" t="str">
        <f t="shared" si="72"/>
        <v/>
      </c>
      <c r="M977" s="1" t="str">
        <f t="shared" si="73"/>
        <v/>
      </c>
      <c r="N977" s="26"/>
      <c r="S977" s="27" t="str">
        <f t="shared" si="74"/>
        <v/>
      </c>
      <c r="T977" s="28" t="str">
        <f t="shared" si="70"/>
        <v/>
      </c>
      <c r="V977" t="str">
        <f t="shared" si="71"/>
        <v/>
      </c>
    </row>
    <row r="978" spans="1:22">
      <c r="A978" s="6"/>
      <c r="H978" s="25"/>
      <c r="I978" s="25"/>
      <c r="J978" s="25"/>
      <c r="K978" s="25"/>
      <c r="L978" s="1" t="str">
        <f t="shared" si="72"/>
        <v/>
      </c>
      <c r="M978" s="1" t="str">
        <f t="shared" si="73"/>
        <v/>
      </c>
      <c r="N978" s="26"/>
      <c r="S978" s="27" t="str">
        <f t="shared" si="74"/>
        <v/>
      </c>
      <c r="T978" s="28" t="str">
        <f t="shared" si="70"/>
        <v/>
      </c>
      <c r="V978" t="str">
        <f t="shared" si="71"/>
        <v/>
      </c>
    </row>
    <row r="979" spans="1:22">
      <c r="A979" s="6"/>
      <c r="H979" s="25"/>
      <c r="I979" s="25"/>
      <c r="J979" s="25"/>
      <c r="K979" s="25"/>
      <c r="L979" s="1" t="str">
        <f t="shared" si="72"/>
        <v/>
      </c>
      <c r="M979" s="1" t="str">
        <f t="shared" si="73"/>
        <v/>
      </c>
      <c r="N979" s="26"/>
      <c r="S979" s="27" t="str">
        <f t="shared" si="74"/>
        <v/>
      </c>
      <c r="T979" s="28" t="str">
        <f t="shared" si="70"/>
        <v/>
      </c>
      <c r="V979" t="str">
        <f t="shared" si="71"/>
        <v/>
      </c>
    </row>
    <row r="980" spans="1:22">
      <c r="A980" s="6"/>
      <c r="H980" s="25"/>
      <c r="I980" s="25"/>
      <c r="J980" s="25"/>
      <c r="K980" s="25"/>
      <c r="L980" s="1" t="str">
        <f t="shared" si="72"/>
        <v/>
      </c>
      <c r="M980" s="1" t="str">
        <f t="shared" si="73"/>
        <v/>
      </c>
      <c r="N980" s="26"/>
      <c r="S980" s="27" t="str">
        <f t="shared" si="74"/>
        <v/>
      </c>
      <c r="T980" s="28" t="str">
        <f t="shared" ref="T980:T1018" si="75">IF($A980="","",IF(OR($S980="", $S980&lt;=0, $L980=""),"",ROUND($L980*24*$S980,2)))</f>
        <v/>
      </c>
      <c r="V980" t="str">
        <f t="shared" ref="V980:V1018" si="76">IF($A980="","",IF(OR(YEAR($A980)&lt;2020,YEAR($A980)&gt;2030),"Podezřelé datum",IF(OR($F980="",$G980=""),"Chybí letiště",IF(OR($H980="",$I980="",$J980="",$K980=""),"Chybí čas",IF(OR($H980&gt;$I980,$I980&gt;$J980,$J980&gt;$K980),"Časy mimo pořadí",IF($M980&gt;$L980,"Air &gt; Block",IF(OR($S980="", $S980&lt;=0),"Chybí sazba","OK")))))))</f>
        <v/>
      </c>
    </row>
    <row r="981" spans="1:22">
      <c r="A981" s="6"/>
      <c r="H981" s="25"/>
      <c r="I981" s="25"/>
      <c r="J981" s="25"/>
      <c r="K981" s="25"/>
      <c r="L981" s="1" t="str">
        <f t="shared" si="72"/>
        <v/>
      </c>
      <c r="M981" s="1" t="str">
        <f t="shared" si="73"/>
        <v/>
      </c>
      <c r="N981" s="26"/>
      <c r="S981" s="27" t="str">
        <f t="shared" si="74"/>
        <v/>
      </c>
      <c r="T981" s="28" t="str">
        <f t="shared" si="75"/>
        <v/>
      </c>
      <c r="V981" t="str">
        <f t="shared" si="76"/>
        <v/>
      </c>
    </row>
    <row r="982" spans="1:22">
      <c r="A982" s="6"/>
      <c r="H982" s="25"/>
      <c r="I982" s="25"/>
      <c r="J982" s="25"/>
      <c r="K982" s="25"/>
      <c r="L982" s="1" t="str">
        <f t="shared" si="72"/>
        <v/>
      </c>
      <c r="M982" s="1" t="str">
        <f t="shared" si="73"/>
        <v/>
      </c>
      <c r="N982" s="26"/>
      <c r="S982" s="27" t="str">
        <f t="shared" si="74"/>
        <v/>
      </c>
      <c r="T982" s="28" t="str">
        <f t="shared" si="75"/>
        <v/>
      </c>
      <c r="V982" t="str">
        <f t="shared" si="76"/>
        <v/>
      </c>
    </row>
    <row r="983" spans="1:22">
      <c r="A983" s="6"/>
      <c r="H983" s="25"/>
      <c r="I983" s="25"/>
      <c r="J983" s="25"/>
      <c r="K983" s="25"/>
      <c r="L983" s="1" t="str">
        <f t="shared" si="72"/>
        <v/>
      </c>
      <c r="M983" s="1" t="str">
        <f t="shared" si="73"/>
        <v/>
      </c>
      <c r="N983" s="26"/>
      <c r="S983" s="27" t="str">
        <f t="shared" si="74"/>
        <v/>
      </c>
      <c r="T983" s="28" t="str">
        <f t="shared" si="75"/>
        <v/>
      </c>
      <c r="V983" t="str">
        <f t="shared" si="76"/>
        <v/>
      </c>
    </row>
    <row r="984" spans="1:22">
      <c r="A984" s="6"/>
      <c r="H984" s="25"/>
      <c r="I984" s="25"/>
      <c r="J984" s="25"/>
      <c r="K984" s="25"/>
      <c r="L984" s="1" t="str">
        <f t="shared" si="72"/>
        <v/>
      </c>
      <c r="M984" s="1" t="str">
        <f t="shared" si="73"/>
        <v/>
      </c>
      <c r="N984" s="26"/>
      <c r="S984" s="27" t="str">
        <f t="shared" si="74"/>
        <v/>
      </c>
      <c r="T984" s="28" t="str">
        <f t="shared" si="75"/>
        <v/>
      </c>
      <c r="V984" t="str">
        <f t="shared" si="76"/>
        <v/>
      </c>
    </row>
    <row r="985" spans="1:22">
      <c r="A985" s="6"/>
      <c r="H985" s="25"/>
      <c r="I985" s="25"/>
      <c r="J985" s="25"/>
      <c r="K985" s="25"/>
      <c r="L985" s="1" t="str">
        <f t="shared" si="72"/>
        <v/>
      </c>
      <c r="M985" s="1" t="str">
        <f t="shared" si="73"/>
        <v/>
      </c>
      <c r="N985" s="26"/>
      <c r="S985" s="27" t="str">
        <f t="shared" si="74"/>
        <v/>
      </c>
      <c r="T985" s="28" t="str">
        <f t="shared" si="75"/>
        <v/>
      </c>
      <c r="V985" t="str">
        <f t="shared" si="76"/>
        <v/>
      </c>
    </row>
    <row r="986" spans="1:22">
      <c r="A986" s="6"/>
      <c r="H986" s="25"/>
      <c r="I986" s="25"/>
      <c r="J986" s="25"/>
      <c r="K986" s="25"/>
      <c r="L986" s="1" t="str">
        <f t="shared" si="72"/>
        <v/>
      </c>
      <c r="M986" s="1" t="str">
        <f t="shared" si="73"/>
        <v/>
      </c>
      <c r="N986" s="26"/>
      <c r="S986" s="27" t="str">
        <f t="shared" si="74"/>
        <v/>
      </c>
      <c r="T986" s="28" t="str">
        <f t="shared" si="75"/>
        <v/>
      </c>
      <c r="V986" t="str">
        <f t="shared" si="76"/>
        <v/>
      </c>
    </row>
    <row r="987" spans="1:22">
      <c r="A987" s="6"/>
      <c r="H987" s="25"/>
      <c r="I987" s="25"/>
      <c r="J987" s="25"/>
      <c r="K987" s="25"/>
      <c r="L987" s="1" t="str">
        <f t="shared" si="72"/>
        <v/>
      </c>
      <c r="M987" s="1" t="str">
        <f t="shared" si="73"/>
        <v/>
      </c>
      <c r="N987" s="26"/>
      <c r="S987" s="27" t="str">
        <f t="shared" si="74"/>
        <v/>
      </c>
      <c r="T987" s="28" t="str">
        <f t="shared" si="75"/>
        <v/>
      </c>
      <c r="V987" t="str">
        <f t="shared" si="76"/>
        <v/>
      </c>
    </row>
    <row r="988" spans="1:22">
      <c r="A988" s="6"/>
      <c r="H988" s="25"/>
      <c r="I988" s="25"/>
      <c r="J988" s="25"/>
      <c r="K988" s="25"/>
      <c r="L988" s="1" t="str">
        <f t="shared" si="72"/>
        <v/>
      </c>
      <c r="M988" s="1" t="str">
        <f t="shared" si="73"/>
        <v/>
      </c>
      <c r="N988" s="26"/>
      <c r="S988" s="27" t="str">
        <f t="shared" si="74"/>
        <v/>
      </c>
      <c r="T988" s="28" t="str">
        <f t="shared" si="75"/>
        <v/>
      </c>
      <c r="V988" t="str">
        <f t="shared" si="76"/>
        <v/>
      </c>
    </row>
    <row r="989" spans="1:22">
      <c r="A989" s="6"/>
      <c r="H989" s="25"/>
      <c r="I989" s="25"/>
      <c r="J989" s="25"/>
      <c r="K989" s="25"/>
      <c r="L989" s="1" t="str">
        <f t="shared" si="72"/>
        <v/>
      </c>
      <c r="M989" s="1" t="str">
        <f t="shared" si="73"/>
        <v/>
      </c>
      <c r="N989" s="26"/>
      <c r="S989" s="27" t="str">
        <f t="shared" si="74"/>
        <v/>
      </c>
      <c r="T989" s="28" t="str">
        <f t="shared" si="75"/>
        <v/>
      </c>
      <c r="V989" t="str">
        <f t="shared" si="76"/>
        <v/>
      </c>
    </row>
    <row r="990" spans="1:22">
      <c r="A990" s="6"/>
      <c r="H990" s="25"/>
      <c r="I990" s="25"/>
      <c r="J990" s="25"/>
      <c r="K990" s="25"/>
      <c r="L990" s="1" t="str">
        <f t="shared" si="72"/>
        <v/>
      </c>
      <c r="M990" s="1" t="str">
        <f t="shared" si="73"/>
        <v/>
      </c>
      <c r="N990" s="26"/>
      <c r="S990" s="27" t="str">
        <f t="shared" si="74"/>
        <v/>
      </c>
      <c r="T990" s="28" t="str">
        <f t="shared" si="75"/>
        <v/>
      </c>
      <c r="V990" t="str">
        <f t="shared" si="76"/>
        <v/>
      </c>
    </row>
    <row r="991" spans="1:22">
      <c r="A991" s="6"/>
      <c r="H991" s="25"/>
      <c r="I991" s="25"/>
      <c r="J991" s="25"/>
      <c r="K991" s="25"/>
      <c r="L991" s="1" t="str">
        <f t="shared" si="72"/>
        <v/>
      </c>
      <c r="M991" s="1" t="str">
        <f t="shared" si="73"/>
        <v/>
      </c>
      <c r="N991" s="26"/>
      <c r="S991" s="27" t="str">
        <f t="shared" si="74"/>
        <v/>
      </c>
      <c r="T991" s="28" t="str">
        <f t="shared" si="75"/>
        <v/>
      </c>
      <c r="V991" t="str">
        <f t="shared" si="76"/>
        <v/>
      </c>
    </row>
    <row r="992" spans="1:22">
      <c r="A992" s="6"/>
      <c r="H992" s="25"/>
      <c r="I992" s="25"/>
      <c r="J992" s="25"/>
      <c r="K992" s="25"/>
      <c r="L992" s="1" t="str">
        <f t="shared" si="72"/>
        <v/>
      </c>
      <c r="M992" s="1" t="str">
        <f t="shared" si="73"/>
        <v/>
      </c>
      <c r="N992" s="26"/>
      <c r="S992" s="27" t="str">
        <f t="shared" si="74"/>
        <v/>
      </c>
      <c r="T992" s="28" t="str">
        <f t="shared" si="75"/>
        <v/>
      </c>
      <c r="V992" t="str">
        <f t="shared" si="76"/>
        <v/>
      </c>
    </row>
    <row r="993" spans="1:22">
      <c r="A993" s="6"/>
      <c r="H993" s="25"/>
      <c r="I993" s="25"/>
      <c r="J993" s="25"/>
      <c r="K993" s="25"/>
      <c r="L993" s="1" t="str">
        <f t="shared" si="72"/>
        <v/>
      </c>
      <c r="M993" s="1" t="str">
        <f t="shared" si="73"/>
        <v/>
      </c>
      <c r="N993" s="26"/>
      <c r="S993" s="27" t="str">
        <f t="shared" si="74"/>
        <v/>
      </c>
      <c r="T993" s="28" t="str">
        <f t="shared" si="75"/>
        <v/>
      </c>
      <c r="V993" t="str">
        <f t="shared" si="76"/>
        <v/>
      </c>
    </row>
    <row r="994" spans="1:22">
      <c r="A994" s="6"/>
      <c r="H994" s="25"/>
      <c r="I994" s="25"/>
      <c r="J994" s="25"/>
      <c r="K994" s="25"/>
      <c r="L994" s="1" t="str">
        <f t="shared" si="72"/>
        <v/>
      </c>
      <c r="M994" s="1" t="str">
        <f t="shared" si="73"/>
        <v/>
      </c>
      <c r="N994" s="26"/>
      <c r="S994" s="27" t="str">
        <f t="shared" si="74"/>
        <v/>
      </c>
      <c r="T994" s="28" t="str">
        <f t="shared" si="75"/>
        <v/>
      </c>
      <c r="V994" t="str">
        <f t="shared" si="76"/>
        <v/>
      </c>
    </row>
    <row r="995" spans="1:22">
      <c r="A995" s="6"/>
      <c r="H995" s="25"/>
      <c r="I995" s="25"/>
      <c r="J995" s="25"/>
      <c r="K995" s="25"/>
      <c r="L995" s="1" t="str">
        <f t="shared" si="72"/>
        <v/>
      </c>
      <c r="M995" s="1" t="str">
        <f t="shared" si="73"/>
        <v/>
      </c>
      <c r="N995" s="26"/>
      <c r="S995" s="27" t="str">
        <f t="shared" si="74"/>
        <v/>
      </c>
      <c r="T995" s="28" t="str">
        <f t="shared" si="75"/>
        <v/>
      </c>
      <c r="V995" t="str">
        <f t="shared" si="76"/>
        <v/>
      </c>
    </row>
    <row r="996" spans="1:22">
      <c r="A996" s="6"/>
      <c r="H996" s="25"/>
      <c r="I996" s="25"/>
      <c r="J996" s="25"/>
      <c r="K996" s="25"/>
      <c r="L996" s="1" t="str">
        <f t="shared" si="72"/>
        <v/>
      </c>
      <c r="M996" s="1" t="str">
        <f t="shared" si="73"/>
        <v/>
      </c>
      <c r="N996" s="26"/>
      <c r="S996" s="27" t="str">
        <f t="shared" si="74"/>
        <v/>
      </c>
      <c r="T996" s="28" t="str">
        <f t="shared" si="75"/>
        <v/>
      </c>
      <c r="V996" t="str">
        <f t="shared" si="76"/>
        <v/>
      </c>
    </row>
    <row r="997" spans="1:22">
      <c r="A997" s="6"/>
      <c r="H997" s="25"/>
      <c r="I997" s="25"/>
      <c r="J997" s="25"/>
      <c r="K997" s="25"/>
      <c r="L997" s="1" t="str">
        <f t="shared" si="72"/>
        <v/>
      </c>
      <c r="M997" s="1" t="str">
        <f t="shared" si="73"/>
        <v/>
      </c>
      <c r="N997" s="26"/>
      <c r="S997" s="27" t="str">
        <f t="shared" si="74"/>
        <v/>
      </c>
      <c r="T997" s="28" t="str">
        <f t="shared" si="75"/>
        <v/>
      </c>
      <c r="V997" t="str">
        <f t="shared" si="76"/>
        <v/>
      </c>
    </row>
    <row r="998" spans="1:22">
      <c r="A998" s="6"/>
      <c r="H998" s="25"/>
      <c r="I998" s="25"/>
      <c r="J998" s="25"/>
      <c r="K998" s="25"/>
      <c r="L998" s="1" t="str">
        <f t="shared" si="72"/>
        <v/>
      </c>
      <c r="M998" s="1" t="str">
        <f t="shared" si="73"/>
        <v/>
      </c>
      <c r="N998" s="26"/>
      <c r="S998" s="27" t="str">
        <f t="shared" si="74"/>
        <v/>
      </c>
      <c r="T998" s="28" t="str">
        <f t="shared" si="75"/>
        <v/>
      </c>
      <c r="V998" t="str">
        <f t="shared" si="76"/>
        <v/>
      </c>
    </row>
    <row r="999" spans="1:22">
      <c r="A999" s="6"/>
      <c r="H999" s="25"/>
      <c r="I999" s="25"/>
      <c r="J999" s="25"/>
      <c r="K999" s="25"/>
      <c r="L999" s="1" t="str">
        <f t="shared" si="72"/>
        <v/>
      </c>
      <c r="M999" s="1" t="str">
        <f t="shared" si="73"/>
        <v/>
      </c>
      <c r="N999" s="26"/>
      <c r="S999" s="27" t="str">
        <f t="shared" si="74"/>
        <v/>
      </c>
      <c r="T999" s="28" t="str">
        <f t="shared" si="75"/>
        <v/>
      </c>
      <c r="V999" t="str">
        <f t="shared" si="76"/>
        <v/>
      </c>
    </row>
    <row r="1000" spans="1:22">
      <c r="A1000" s="6"/>
      <c r="H1000" s="25"/>
      <c r="I1000" s="25"/>
      <c r="J1000" s="25"/>
      <c r="K1000" s="25"/>
      <c r="L1000" s="1" t="str">
        <f t="shared" si="72"/>
        <v/>
      </c>
      <c r="M1000" s="1" t="str">
        <f t="shared" si="73"/>
        <v/>
      </c>
      <c r="N1000" s="26"/>
      <c r="S1000" s="27" t="str">
        <f t="shared" si="74"/>
        <v/>
      </c>
      <c r="T1000" s="28" t="str">
        <f t="shared" si="75"/>
        <v/>
      </c>
      <c r="V1000" t="str">
        <f t="shared" si="76"/>
        <v/>
      </c>
    </row>
    <row r="1001" spans="1:22">
      <c r="A1001" s="6"/>
      <c r="H1001" s="25"/>
      <c r="I1001" s="25"/>
      <c r="J1001" s="25"/>
      <c r="K1001" s="25"/>
      <c r="L1001" s="1" t="str">
        <f t="shared" si="72"/>
        <v/>
      </c>
      <c r="M1001" s="1" t="str">
        <f t="shared" si="73"/>
        <v/>
      </c>
      <c r="N1001" s="26"/>
      <c r="S1001" s="27" t="str">
        <f t="shared" si="74"/>
        <v/>
      </c>
      <c r="T1001" s="28" t="str">
        <f t="shared" si="75"/>
        <v/>
      </c>
      <c r="V1001" t="str">
        <f t="shared" si="76"/>
        <v/>
      </c>
    </row>
    <row r="1002" spans="1:22">
      <c r="A1002" s="6"/>
      <c r="H1002" s="25"/>
      <c r="I1002" s="25"/>
      <c r="J1002" s="25"/>
      <c r="K1002" s="25"/>
      <c r="L1002" s="1" t="str">
        <f t="shared" si="72"/>
        <v/>
      </c>
      <c r="M1002" s="1" t="str">
        <f t="shared" si="73"/>
        <v/>
      </c>
      <c r="N1002" s="26"/>
      <c r="S1002" s="27" t="str">
        <f t="shared" si="74"/>
        <v/>
      </c>
      <c r="T1002" s="28" t="str">
        <f t="shared" si="75"/>
        <v/>
      </c>
      <c r="V1002" t="str">
        <f t="shared" si="76"/>
        <v/>
      </c>
    </row>
    <row r="1003" spans="1:22">
      <c r="A1003" s="6"/>
      <c r="H1003" s="25"/>
      <c r="I1003" s="25"/>
      <c r="J1003" s="25"/>
      <c r="K1003" s="25"/>
      <c r="L1003" s="1" t="str">
        <f t="shared" si="72"/>
        <v/>
      </c>
      <c r="M1003" s="1" t="str">
        <f t="shared" si="73"/>
        <v/>
      </c>
      <c r="N1003" s="26"/>
      <c r="S1003" s="27" t="str">
        <f t="shared" si="74"/>
        <v/>
      </c>
      <c r="T1003" s="28" t="str">
        <f t="shared" si="75"/>
        <v/>
      </c>
      <c r="V1003" t="str">
        <f t="shared" si="76"/>
        <v/>
      </c>
    </row>
    <row r="1004" spans="1:22">
      <c r="A1004" s="6"/>
      <c r="H1004" s="25"/>
      <c r="I1004" s="25"/>
      <c r="J1004" s="25"/>
      <c r="K1004" s="25"/>
      <c r="L1004" s="1" t="str">
        <f t="shared" si="72"/>
        <v/>
      </c>
      <c r="M1004" s="1" t="str">
        <f t="shared" si="73"/>
        <v/>
      </c>
      <c r="N1004" s="26"/>
      <c r="S1004" s="27" t="str">
        <f t="shared" si="74"/>
        <v/>
      </c>
      <c r="T1004" s="28" t="str">
        <f t="shared" si="75"/>
        <v/>
      </c>
      <c r="V1004" t="str">
        <f t="shared" si="76"/>
        <v/>
      </c>
    </row>
    <row r="1005" spans="1:22">
      <c r="A1005" s="6"/>
      <c r="H1005" s="25"/>
      <c r="I1005" s="25"/>
      <c r="J1005" s="25"/>
      <c r="K1005" s="25"/>
      <c r="L1005" s="1" t="str">
        <f t="shared" si="72"/>
        <v/>
      </c>
      <c r="M1005" s="1" t="str">
        <f t="shared" si="73"/>
        <v/>
      </c>
      <c r="N1005" s="26"/>
      <c r="S1005" s="27" t="str">
        <f t="shared" si="74"/>
        <v/>
      </c>
      <c r="T1005" s="28" t="str">
        <f t="shared" si="75"/>
        <v/>
      </c>
      <c r="V1005" t="str">
        <f t="shared" si="76"/>
        <v/>
      </c>
    </row>
    <row r="1006" spans="1:22">
      <c r="A1006" s="6"/>
      <c r="H1006" s="25"/>
      <c r="I1006" s="25"/>
      <c r="J1006" s="25"/>
      <c r="K1006" s="25"/>
      <c r="L1006" s="1" t="str">
        <f t="shared" si="72"/>
        <v/>
      </c>
      <c r="M1006" s="1" t="str">
        <f t="shared" si="73"/>
        <v/>
      </c>
      <c r="N1006" s="26"/>
      <c r="S1006" s="27" t="str">
        <f t="shared" si="74"/>
        <v/>
      </c>
      <c r="T1006" s="28" t="str">
        <f t="shared" si="75"/>
        <v/>
      </c>
      <c r="V1006" t="str">
        <f t="shared" si="76"/>
        <v/>
      </c>
    </row>
    <row r="1007" spans="1:22">
      <c r="A1007" s="6"/>
      <c r="H1007" s="25"/>
      <c r="I1007" s="25"/>
      <c r="J1007" s="25"/>
      <c r="K1007" s="25"/>
      <c r="L1007" s="1" t="str">
        <f t="shared" si="72"/>
        <v/>
      </c>
      <c r="M1007" s="1" t="str">
        <f t="shared" si="73"/>
        <v/>
      </c>
      <c r="N1007" s="26"/>
      <c r="S1007" s="27" t="str">
        <f t="shared" si="74"/>
        <v/>
      </c>
      <c r="T1007" s="28" t="str">
        <f t="shared" si="75"/>
        <v/>
      </c>
      <c r="V1007" t="str">
        <f t="shared" si="76"/>
        <v/>
      </c>
    </row>
    <row r="1008" spans="1:22">
      <c r="A1008" s="6"/>
      <c r="H1008" s="25"/>
      <c r="I1008" s="25"/>
      <c r="J1008" s="25"/>
      <c r="K1008" s="25"/>
      <c r="L1008" s="1" t="str">
        <f t="shared" si="72"/>
        <v/>
      </c>
      <c r="M1008" s="1" t="str">
        <f t="shared" si="73"/>
        <v/>
      </c>
      <c r="N1008" s="26"/>
      <c r="S1008" s="27" t="str">
        <f t="shared" si="74"/>
        <v/>
      </c>
      <c r="T1008" s="28" t="str">
        <f t="shared" si="75"/>
        <v/>
      </c>
      <c r="V1008" t="str">
        <f t="shared" si="76"/>
        <v/>
      </c>
    </row>
    <row r="1009" spans="1:22">
      <c r="A1009" s="6"/>
      <c r="H1009" s="25"/>
      <c r="I1009" s="25"/>
      <c r="J1009" s="25"/>
      <c r="K1009" s="25"/>
      <c r="L1009" s="1" t="str">
        <f t="shared" si="72"/>
        <v/>
      </c>
      <c r="M1009" s="1" t="str">
        <f t="shared" si="73"/>
        <v/>
      </c>
      <c r="N1009" s="26"/>
      <c r="S1009" s="27" t="str">
        <f t="shared" si="74"/>
        <v/>
      </c>
      <c r="T1009" s="28" t="str">
        <f t="shared" si="75"/>
        <v/>
      </c>
      <c r="V1009" t="str">
        <f t="shared" si="76"/>
        <v/>
      </c>
    </row>
    <row r="1010" spans="1:22">
      <c r="A1010" s="6"/>
      <c r="H1010" s="25"/>
      <c r="I1010" s="25"/>
      <c r="J1010" s="25"/>
      <c r="K1010" s="25"/>
      <c r="L1010" s="1" t="str">
        <f t="shared" si="72"/>
        <v/>
      </c>
      <c r="M1010" s="1" t="str">
        <f t="shared" si="73"/>
        <v/>
      </c>
      <c r="N1010" s="26"/>
      <c r="S1010" s="27" t="str">
        <f t="shared" si="74"/>
        <v/>
      </c>
      <c r="T1010" s="28" t="str">
        <f t="shared" si="75"/>
        <v/>
      </c>
      <c r="V1010" t="str">
        <f t="shared" si="76"/>
        <v/>
      </c>
    </row>
    <row r="1011" spans="1:22">
      <c r="A1011" s="6"/>
      <c r="H1011" s="25"/>
      <c r="I1011" s="25"/>
      <c r="J1011" s="25"/>
      <c r="K1011" s="25"/>
      <c r="L1011" s="1" t="str">
        <f t="shared" si="72"/>
        <v/>
      </c>
      <c r="M1011" s="1" t="str">
        <f t="shared" si="73"/>
        <v/>
      </c>
      <c r="N1011" s="26"/>
      <c r="S1011" s="27" t="str">
        <f t="shared" si="74"/>
        <v/>
      </c>
      <c r="T1011" s="28" t="str">
        <f t="shared" si="75"/>
        <v/>
      </c>
      <c r="V1011" t="str">
        <f t="shared" si="76"/>
        <v/>
      </c>
    </row>
    <row r="1012" spans="1:22">
      <c r="A1012" s="6"/>
      <c r="H1012" s="25"/>
      <c r="I1012" s="25"/>
      <c r="J1012" s="25"/>
      <c r="K1012" s="25"/>
      <c r="L1012" s="1" t="str">
        <f t="shared" si="72"/>
        <v/>
      </c>
      <c r="M1012" s="1" t="str">
        <f t="shared" si="73"/>
        <v/>
      </c>
      <c r="N1012" s="26"/>
      <c r="S1012" s="27" t="str">
        <f t="shared" si="74"/>
        <v/>
      </c>
      <c r="T1012" s="28" t="str">
        <f t="shared" si="75"/>
        <v/>
      </c>
      <c r="V1012" t="str">
        <f t="shared" si="76"/>
        <v/>
      </c>
    </row>
    <row r="1013" spans="1:22">
      <c r="A1013" s="6"/>
      <c r="H1013" s="25"/>
      <c r="I1013" s="25"/>
      <c r="J1013" s="25"/>
      <c r="K1013" s="25"/>
      <c r="L1013" s="1" t="str">
        <f t="shared" si="72"/>
        <v/>
      </c>
      <c r="M1013" s="1" t="str">
        <f t="shared" si="73"/>
        <v/>
      </c>
      <c r="N1013" s="26"/>
      <c r="S1013" s="27" t="str">
        <f t="shared" si="74"/>
        <v/>
      </c>
      <c r="T1013" s="28" t="str">
        <f t="shared" si="75"/>
        <v/>
      </c>
      <c r="V1013" t="str">
        <f t="shared" si="76"/>
        <v/>
      </c>
    </row>
    <row r="1014" spans="1:22">
      <c r="A1014" s="6"/>
      <c r="H1014" s="25"/>
      <c r="I1014" s="25"/>
      <c r="J1014" s="25"/>
      <c r="K1014" s="25"/>
      <c r="L1014" s="1" t="str">
        <f t="shared" si="72"/>
        <v/>
      </c>
      <c r="M1014" s="1" t="str">
        <f t="shared" si="73"/>
        <v/>
      </c>
      <c r="N1014" s="26"/>
      <c r="S1014" s="27" t="str">
        <f t="shared" si="74"/>
        <v/>
      </c>
      <c r="T1014" s="28" t="str">
        <f t="shared" si="75"/>
        <v/>
      </c>
      <c r="V1014" t="str">
        <f t="shared" si="76"/>
        <v/>
      </c>
    </row>
    <row r="1015" spans="1:22">
      <c r="A1015" s="6"/>
      <c r="H1015" s="25"/>
      <c r="I1015" s="25"/>
      <c r="J1015" s="25"/>
      <c r="K1015" s="25"/>
      <c r="L1015" s="1" t="str">
        <f t="shared" si="72"/>
        <v/>
      </c>
      <c r="M1015" s="1" t="str">
        <f t="shared" si="73"/>
        <v/>
      </c>
      <c r="N1015" s="26"/>
      <c r="S1015" s="27" t="str">
        <f t="shared" si="74"/>
        <v/>
      </c>
      <c r="T1015" s="28" t="str">
        <f t="shared" si="75"/>
        <v/>
      </c>
      <c r="V1015" t="str">
        <f t="shared" si="76"/>
        <v/>
      </c>
    </row>
    <row r="1016" spans="1:22">
      <c r="A1016" s="6"/>
      <c r="H1016" s="25"/>
      <c r="I1016" s="25"/>
      <c r="J1016" s="25"/>
      <c r="K1016" s="25"/>
      <c r="L1016" s="1" t="str">
        <f t="shared" si="72"/>
        <v/>
      </c>
      <c r="M1016" s="1" t="str">
        <f t="shared" si="73"/>
        <v/>
      </c>
      <c r="N1016" s="26"/>
      <c r="S1016" s="27" t="str">
        <f t="shared" si="74"/>
        <v/>
      </c>
      <c r="T1016" s="28" t="str">
        <f t="shared" si="75"/>
        <v/>
      </c>
      <c r="V1016" t="str">
        <f t="shared" si="76"/>
        <v/>
      </c>
    </row>
    <row r="1017" spans="1:22">
      <c r="A1017" s="6"/>
      <c r="H1017" s="25"/>
      <c r="I1017" s="25"/>
      <c r="J1017" s="25"/>
      <c r="K1017" s="25"/>
      <c r="L1017" s="1" t="str">
        <f t="shared" si="72"/>
        <v/>
      </c>
      <c r="M1017" s="1" t="str">
        <f t="shared" si="73"/>
        <v/>
      </c>
      <c r="N1017" s="26"/>
      <c r="S1017" s="27" t="str">
        <f t="shared" si="74"/>
        <v/>
      </c>
      <c r="T1017" s="28" t="str">
        <f t="shared" si="75"/>
        <v/>
      </c>
      <c r="V1017" t="str">
        <f t="shared" si="76"/>
        <v/>
      </c>
    </row>
    <row r="1018" spans="1:22">
      <c r="A1018" s="6"/>
      <c r="H1018" s="25"/>
      <c r="I1018" s="25"/>
      <c r="J1018" s="25"/>
      <c r="K1018" s="25"/>
      <c r="L1018" s="1" t="str">
        <f t="shared" si="72"/>
        <v/>
      </c>
      <c r="M1018" s="1" t="str">
        <f t="shared" si="73"/>
        <v/>
      </c>
      <c r="N1018" s="26"/>
      <c r="S1018" s="27" t="str">
        <f t="shared" si="74"/>
        <v/>
      </c>
      <c r="T1018" s="28" t="str">
        <f t="shared" si="75"/>
        <v/>
      </c>
      <c r="V1018" t="str">
        <f t="shared" si="76"/>
        <v/>
      </c>
    </row>
  </sheetData>
  <conditionalFormatting sqref="A2:V1018">
    <cfRule type="expression" dxfId="2" priority="2">
      <formula>AND($A2&lt;&gt;"",$Q2="DUAL")</formula>
    </cfRule>
    <cfRule type="expression" dxfId="1" priority="3">
      <formula>AND($A2&lt;&gt;"",$Q2="SAFETY PILOT")</formula>
    </cfRule>
  </conditionalFormatting>
  <conditionalFormatting sqref="V2:V1018">
    <cfRule type="expression" dxfId="0" priority="4">
      <formula>AND($A2&lt;&gt;"",$V2&lt;&gt;"OK")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Seznamy!$A$2:$A$3</xm:f>
          </x14:formula1>
          <xm:sqref>B2:B1018</xm:sqref>
        </x14:dataValidation>
        <x14:dataValidation type="list" xr:uid="{00000000-0002-0000-0100-000001000000}">
          <x14:formula1>
            <xm:f>Seznamy!$B$2:$B$8</xm:f>
          </x14:formula1>
          <xm:sqref>E2:E1018</xm:sqref>
        </x14:dataValidation>
        <x14:dataValidation type="list" xr:uid="{00000000-0002-0000-0100-000002000000}">
          <x14:formula1>
            <xm:f>Seznamy!$C$2:$C$8</xm:f>
          </x14:formula1>
          <xm:sqref>Q2:Q1018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4"/>
  <sheetViews>
    <sheetView workbookViewId="0">
      <selection activeCell="F13" sqref="F13"/>
    </sheetView>
  </sheetViews>
  <sheetFormatPr defaultRowHeight="14.25"/>
  <cols>
    <col min="1" max="1" width="13.75" bestFit="1" customWidth="1"/>
    <col min="2" max="2" width="4.875" bestFit="1" customWidth="1"/>
    <col min="3" max="3" width="10.125" bestFit="1" customWidth="1"/>
    <col min="4" max="4" width="10.625" bestFit="1" customWidth="1"/>
    <col min="5" max="5" width="5.375" bestFit="1" customWidth="1"/>
    <col min="6" max="6" width="11.5" bestFit="1" customWidth="1"/>
    <col min="7" max="7" width="8.875" bestFit="1" customWidth="1"/>
    <col min="8" max="8" width="9.25" bestFit="1" customWidth="1"/>
    <col min="9" max="9" width="6.375" bestFit="1" customWidth="1"/>
    <col min="10" max="10" width="7.5" bestFit="1" customWidth="1"/>
    <col min="11" max="11" width="5.375" bestFit="1" customWidth="1"/>
    <col min="12" max="12" width="6" bestFit="1" customWidth="1"/>
    <col min="13" max="13" width="10.625" bestFit="1" customWidth="1"/>
  </cols>
  <sheetData>
    <row r="1" spans="1:23" ht="20.25">
      <c r="A1" s="33" t="s">
        <v>233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8"/>
      <c r="M1" s="8"/>
      <c r="N1" s="4"/>
      <c r="O1" s="4"/>
      <c r="P1" s="4"/>
      <c r="Q1" s="4"/>
      <c r="R1" s="4"/>
      <c r="S1" s="4"/>
      <c r="T1" s="4"/>
      <c r="U1" s="4"/>
      <c r="V1" s="4"/>
      <c r="W1" s="4"/>
    </row>
    <row r="3" spans="1:23" ht="30">
      <c r="A3" s="29" t="s">
        <v>232</v>
      </c>
      <c r="B3" s="29" t="s">
        <v>234</v>
      </c>
      <c r="C3" s="29" t="s">
        <v>235</v>
      </c>
      <c r="D3" s="29" t="s">
        <v>27</v>
      </c>
      <c r="E3" s="29" t="s">
        <v>222</v>
      </c>
      <c r="F3" s="29" t="s">
        <v>224</v>
      </c>
      <c r="G3" s="29" t="s">
        <v>32</v>
      </c>
      <c r="H3" s="29" t="s">
        <v>15</v>
      </c>
      <c r="I3" s="29" t="s">
        <v>223</v>
      </c>
      <c r="J3" s="29" t="s">
        <v>22</v>
      </c>
      <c r="K3" s="29" t="s">
        <v>48</v>
      </c>
      <c r="L3" s="29" t="s">
        <v>13</v>
      </c>
      <c r="M3" s="29" t="s">
        <v>236</v>
      </c>
    </row>
    <row r="4" spans="1:23">
      <c r="A4">
        <v>2020</v>
      </c>
      <c r="B4">
        <f>COUNTIFS('Zápisník letů'!$A$2:$A$1018,"&gt;="&amp;DATE($A4,1,1),'Zápisník letů'!$A$2:$A$1018,"&lt;"&amp;DATE($A4+1,1,1))</f>
        <v>24</v>
      </c>
      <c r="C4" s="1">
        <f>SUMIFS('Zápisník letů'!$L$2:$L$1018,'Zápisník letů'!$A$2:$A$1018,"&gt;="&amp;DATE($A4,1,1),'Zápisník letů'!$A$2:$A$1018,"&lt;"&amp;DATE($A4+1,1,1))</f>
        <v>0.99583333333333368</v>
      </c>
      <c r="D4" s="1">
        <f>SUMIFS('Zápisník letů'!$L$2:$L$1018,'Zápisník letů'!$A$2:$A$1018,"&gt;="&amp;DATE($A4,1,1),'Zápisník letů'!$A$2:$A$1018,"&lt;"&amp;DATE($A4+1,1,1),'Zápisník letů'!$Q$2:$Q$1018,"PIC")</f>
        <v>0.8069444444444448</v>
      </c>
      <c r="E4" s="1">
        <f>SUMIFS('Zápisník letů'!$L$2:$L$1018,'Zápisník letů'!$A$2:$A$1018,"&gt;="&amp;DATE($A4,1,1),'Zápisník letů'!$A$2:$A$1018,"&lt;"&amp;DATE($A4+1,1,1),'Zápisník letů'!$Q$2:$Q$1018,"PIC",'Zápisník letů'!$B$2:$B$1018,"ULL")</f>
        <v>0.8069444444444448</v>
      </c>
      <c r="F4" s="1">
        <f>SUMIFS('Zápisník letů'!$L$2:$L$1018,'Zápisník letů'!$A$2:$A$1018,"&gt;="&amp;DATE($A4,1,1),'Zápisník letů'!$A$2:$A$1018,"&lt;"&amp;DATE($A4+1,1,1),'Zápisník letů'!$Q$2:$Q$1018,"PIC",'Zápisník letů'!$B$2:$B$1018,"EASA")</f>
        <v>0</v>
      </c>
      <c r="G4" s="1">
        <f>SUMIFS('Zápisník letů'!$L$2:$L$1018,'Zápisník letů'!$A$2:$A$1018,"&gt;="&amp;DATE($A4,1,1),'Zápisník letů'!$A$2:$A$1018,"&lt;"&amp;DATE($A4+1,1,1),'Zápisník letů'!$Q$2:$Q$1018,"DUAL")</f>
        <v>0.18888888888888888</v>
      </c>
      <c r="H4" s="1">
        <f>SUMIFS('Zápisník letů'!$L$2:$L$1018,'Zápisník letů'!$A$2:$A$1018,"&gt;="&amp;DATE($A4,1,1),'Zápisník letů'!$A$2:$A$1018,"&lt;"&amp;DATE($A4+1,1,1),'Zápisník letů'!$Q$2:$Q$1018,"INSTRUKTOR")</f>
        <v>0</v>
      </c>
      <c r="I4" s="1">
        <f>SUMIFS('Zápisník letů'!$L$2:$L$1018,'Zápisník letů'!$A$2:$A$1018,"&gt;="&amp;DATE($A4,1,1),'Zápisník letů'!$A$2:$A$1018,"&lt;"&amp;DATE($A4+1,1,1),'Zápisník letů'!$Q$2:$Q$1018,"SAFETY PILOT")</f>
        <v>0</v>
      </c>
      <c r="J4" s="1">
        <f>SUMIFS('Zápisník letů'!$L$2:$L$1018,'Zápisník letů'!$A$2:$A$1018,"&gt;="&amp;DATE($A4,1,1),'Zápisník letů'!$A$2:$A$1018,"&lt;"&amp;DATE($A4+1,1,1),'Zápisník letů'!$B$2:$B$1018,"ULL")</f>
        <v>0.99583333333333368</v>
      </c>
      <c r="K4" s="1">
        <f>SUMIFS('Zápisník letů'!$L$2:$L$1018,'Zápisník letů'!$A$2:$A$1018,"&gt;="&amp;DATE($A4,1,1),'Zápisník letů'!$A$2:$A$1018,"&lt;"&amp;DATE($A4+1,1,1),'Zápisník letů'!$B$2:$B$1018,"EASA")</f>
        <v>0</v>
      </c>
      <c r="L4" s="26">
        <f>SUMIFS('Zápisník letů'!$N$2:$N$1018,'Zápisník letů'!$A$2:$A$1018,"&gt;="&amp;DATE($A4,1,1),'Zápisník letů'!$A$2:$A$1018,"&lt;"&amp;DATE($A4+1,1,1))</f>
        <v>86</v>
      </c>
      <c r="M4" s="28">
        <f>SUMIFS('Zápisník letů'!$T$2:$T$1018,'Zápisník letů'!$A$2:$A$1018,"&gt;="&amp;DATE($A4,1,1),'Zápisník letů'!$A$2:$A$1018,"&lt;"&amp;DATE($A4+1,1,1))</f>
        <v>44454</v>
      </c>
    </row>
    <row r="5" spans="1:23">
      <c r="A5">
        <v>2021</v>
      </c>
      <c r="B5">
        <f>COUNTIFS('Zápisník letů'!$A$2:$A$1018,"&gt;="&amp;DATE($A5,1,1),'Zápisník letů'!$A$2:$A$1018,"&lt;"&amp;DATE($A5+1,1,1))</f>
        <v>39</v>
      </c>
      <c r="C5" s="1">
        <f>SUMIFS('Zápisník letů'!$L$2:$L$1018,'Zápisník letů'!$A$2:$A$1018,"&gt;="&amp;DATE($A5,1,1),'Zápisník letů'!$A$2:$A$1018,"&lt;"&amp;DATE($A5+1,1,1))</f>
        <v>1.8076388888888888</v>
      </c>
      <c r="D5" s="1">
        <f>SUMIFS('Zápisník letů'!$L$2:$L$1018,'Zápisník letů'!$A$2:$A$1018,"&gt;="&amp;DATE($A5,1,1),'Zápisník letů'!$A$2:$A$1018,"&lt;"&amp;DATE($A5+1,1,1),'Zápisník letů'!$Q$2:$Q$1018,"PIC")</f>
        <v>1.5145833333333332</v>
      </c>
      <c r="E5" s="1">
        <f>SUMIFS('Zápisník letů'!$L$2:$L$1018,'Zápisník letů'!$A$2:$A$1018,"&gt;="&amp;DATE($A5,1,1),'Zápisník letů'!$A$2:$A$1018,"&lt;"&amp;DATE($A5+1,1,1),'Zápisník letů'!$Q$2:$Q$1018,"PIC",'Zápisník letů'!$B$2:$B$1018,"ULL")</f>
        <v>1.502083333333333</v>
      </c>
      <c r="F5" s="1">
        <f>SUMIFS('Zápisník letů'!$L$2:$L$1018,'Zápisník letů'!$A$2:$A$1018,"&gt;="&amp;DATE($A5,1,1),'Zápisník letů'!$A$2:$A$1018,"&lt;"&amp;DATE($A5+1,1,1),'Zápisník letů'!$Q$2:$Q$1018,"PIC",'Zápisník letů'!$B$2:$B$1018,"EASA")</f>
        <v>1.2499999999999956E-2</v>
      </c>
      <c r="G5" s="1">
        <f>SUMIFS('Zápisník letů'!$L$2:$L$1018,'Zápisník letů'!$A$2:$A$1018,"&gt;="&amp;DATE($A5,1,1),'Zápisník letů'!$A$2:$A$1018,"&lt;"&amp;DATE($A5+1,1,1),'Zápisník letů'!$Q$2:$Q$1018,"DUAL")</f>
        <v>0.29305555555555557</v>
      </c>
      <c r="H5" s="1">
        <f>SUMIFS('Zápisník letů'!$L$2:$L$1018,'Zápisník letů'!$A$2:$A$1018,"&gt;="&amp;DATE($A5,1,1),'Zápisník letů'!$A$2:$A$1018,"&lt;"&amp;DATE($A5+1,1,1),'Zápisník letů'!$Q$2:$Q$1018,"INSTRUKTOR")</f>
        <v>0</v>
      </c>
      <c r="I5" s="1">
        <f>SUMIFS('Zápisník letů'!$L$2:$L$1018,'Zápisník letů'!$A$2:$A$1018,"&gt;="&amp;DATE($A5,1,1),'Zápisník letů'!$A$2:$A$1018,"&lt;"&amp;DATE($A5+1,1,1),'Zápisník letů'!$Q$2:$Q$1018,"SAFETY PILOT")</f>
        <v>0</v>
      </c>
      <c r="J5" s="1">
        <f>SUMIFS('Zápisník letů'!$L$2:$L$1018,'Zápisník letů'!$A$2:$A$1018,"&gt;="&amp;DATE($A5,1,1),'Zápisník letů'!$A$2:$A$1018,"&lt;"&amp;DATE($A5+1,1,1),'Zápisník letů'!$B$2:$B$1018,"ULL")</f>
        <v>1.5576388888888884</v>
      </c>
      <c r="K5" s="1">
        <f>SUMIFS('Zápisník letů'!$L$2:$L$1018,'Zápisník letů'!$A$2:$A$1018,"&gt;="&amp;DATE($A5,1,1),'Zápisník letů'!$A$2:$A$1018,"&lt;"&amp;DATE($A5+1,1,1),'Zápisník letů'!$B$2:$B$1018,"EASA")</f>
        <v>0.25</v>
      </c>
      <c r="L5" s="26">
        <f>SUMIFS('Zápisník letů'!$N$2:$N$1018,'Zápisník letů'!$A$2:$A$1018,"&gt;="&amp;DATE($A5,1,1),'Zápisník letů'!$A$2:$A$1018,"&lt;"&amp;DATE($A5+1,1,1))</f>
        <v>142</v>
      </c>
      <c r="M5" s="28">
        <f>SUMIFS('Zápisník letů'!$T$2:$T$1018,'Zápisník letů'!$A$2:$A$1018,"&gt;="&amp;DATE($A5,1,1),'Zápisník letů'!$A$2:$A$1018,"&lt;"&amp;DATE($A5+1,1,1))</f>
        <v>87137</v>
      </c>
    </row>
    <row r="6" spans="1:23">
      <c r="A6">
        <v>2022</v>
      </c>
      <c r="B6">
        <f>COUNTIFS('Zápisník letů'!$A$2:$A$1018,"&gt;="&amp;DATE($A6,1,1),'Zápisník letů'!$A$2:$A$1018,"&lt;"&amp;DATE($A6+1,1,1))</f>
        <v>26</v>
      </c>
      <c r="C6" s="1">
        <f>SUMIFS('Zápisník letů'!$L$2:$L$1018,'Zápisník letů'!$A$2:$A$1018,"&gt;="&amp;DATE($A6,1,1),'Zápisník letů'!$A$2:$A$1018,"&lt;"&amp;DATE($A6+1,1,1))</f>
        <v>1.9847222222222218</v>
      </c>
      <c r="D6" s="1">
        <f>SUMIFS('Zápisník letů'!$L$2:$L$1018,'Zápisník letů'!$A$2:$A$1018,"&gt;="&amp;DATE($A6,1,1),'Zápisník letů'!$A$2:$A$1018,"&lt;"&amp;DATE($A6+1,1,1),'Zápisník letů'!$Q$2:$Q$1018,"PIC")</f>
        <v>1.715972222222222</v>
      </c>
      <c r="E6" s="1">
        <f>SUMIFS('Zápisník letů'!$L$2:$L$1018,'Zápisník letů'!$A$2:$A$1018,"&gt;="&amp;DATE($A6,1,1),'Zápisník letů'!$A$2:$A$1018,"&lt;"&amp;DATE($A6+1,1,1),'Zápisník letů'!$Q$2:$Q$1018,"PIC",'Zápisník letů'!$B$2:$B$1018,"ULL")</f>
        <v>1.6291666666666662</v>
      </c>
      <c r="F6" s="1">
        <f>SUMIFS('Zápisník letů'!$L$2:$L$1018,'Zápisník letů'!$A$2:$A$1018,"&gt;="&amp;DATE($A6,1,1),'Zápisník letů'!$A$2:$A$1018,"&lt;"&amp;DATE($A6+1,1,1),'Zápisník letů'!$Q$2:$Q$1018,"PIC",'Zápisník letů'!$B$2:$B$1018,"EASA")</f>
        <v>8.680555555555558E-2</v>
      </c>
      <c r="G6" s="1">
        <f>SUMIFS('Zápisník letů'!$L$2:$L$1018,'Zápisník letů'!$A$2:$A$1018,"&gt;="&amp;DATE($A6,1,1),'Zápisník letů'!$A$2:$A$1018,"&lt;"&amp;DATE($A6+1,1,1),'Zápisník letů'!$Q$2:$Q$1018,"DUAL")</f>
        <v>0.26875000000000004</v>
      </c>
      <c r="H6" s="1">
        <f>SUMIFS('Zápisník letů'!$L$2:$L$1018,'Zápisník letů'!$A$2:$A$1018,"&gt;="&amp;DATE($A6,1,1),'Zápisník letů'!$A$2:$A$1018,"&lt;"&amp;DATE($A6+1,1,1),'Zápisník letů'!$Q$2:$Q$1018,"INSTRUKTOR")</f>
        <v>0</v>
      </c>
      <c r="I6" s="1">
        <f>SUMIFS('Zápisník letů'!$L$2:$L$1018,'Zápisník letů'!$A$2:$A$1018,"&gt;="&amp;DATE($A6,1,1),'Zápisník letů'!$A$2:$A$1018,"&lt;"&amp;DATE($A6+1,1,1),'Zápisník letů'!$Q$2:$Q$1018,"SAFETY PILOT")</f>
        <v>0</v>
      </c>
      <c r="J6" s="1">
        <f>SUMIFS('Zápisník letů'!$L$2:$L$1018,'Zápisník letů'!$A$2:$A$1018,"&gt;="&amp;DATE($A6,1,1),'Zápisník letů'!$A$2:$A$1018,"&lt;"&amp;DATE($A6+1,1,1),'Zápisník letů'!$B$2:$B$1018,"ULL")</f>
        <v>1.6291666666666662</v>
      </c>
      <c r="K6" s="1">
        <f>SUMIFS('Zápisník letů'!$L$2:$L$1018,'Zápisník letů'!$A$2:$A$1018,"&gt;="&amp;DATE($A6,1,1),'Zápisník letů'!$A$2:$A$1018,"&lt;"&amp;DATE($A6+1,1,1),'Zápisník letů'!$B$2:$B$1018,"EASA")</f>
        <v>0.35555555555555562</v>
      </c>
      <c r="L6" s="26">
        <f>SUMIFS('Zápisník letů'!$N$2:$N$1018,'Zápisník letů'!$A$2:$A$1018,"&gt;="&amp;DATE($A6,1,1),'Zápisník letů'!$A$2:$A$1018,"&lt;"&amp;DATE($A6+1,1,1))</f>
        <v>89</v>
      </c>
      <c r="M6" s="28">
        <f>SUMIFS('Zápisník letů'!$T$2:$T$1018,'Zápisník letů'!$A$2:$A$1018,"&gt;="&amp;DATE($A6,1,1),'Zápisník letů'!$A$2:$A$1018,"&lt;"&amp;DATE($A6+1,1,1))</f>
        <v>111942</v>
      </c>
    </row>
    <row r="7" spans="1:23">
      <c r="A7">
        <v>2023</v>
      </c>
      <c r="B7">
        <f>COUNTIFS('Zápisník letů'!$A$2:$A$1018,"&gt;="&amp;DATE($A7,1,1),'Zápisník letů'!$A$2:$A$1018,"&lt;"&amp;DATE($A7+1,1,1))</f>
        <v>24</v>
      </c>
      <c r="C7" s="1">
        <f>SUMIFS('Zápisník letů'!$L$2:$L$1018,'Zápisník letů'!$A$2:$A$1018,"&gt;="&amp;DATE($A7,1,1),'Zápisník letů'!$A$2:$A$1018,"&lt;"&amp;DATE($A7+1,1,1))</f>
        <v>1.6263888888888887</v>
      </c>
      <c r="D7" s="1">
        <f>SUMIFS('Zápisník letů'!$L$2:$L$1018,'Zápisník letů'!$A$2:$A$1018,"&gt;="&amp;DATE($A7,1,1),'Zápisník letů'!$A$2:$A$1018,"&lt;"&amp;DATE($A7+1,1,1),'Zápisník letů'!$Q$2:$Q$1018,"PIC")</f>
        <v>1.5305555555555559</v>
      </c>
      <c r="E7" s="1">
        <f>SUMIFS('Zápisník letů'!$L$2:$L$1018,'Zápisník letů'!$A$2:$A$1018,"&gt;="&amp;DATE($A7,1,1),'Zápisník letů'!$A$2:$A$1018,"&lt;"&amp;DATE($A7+1,1,1),'Zápisník letů'!$Q$2:$Q$1018,"PIC",'Zápisník letů'!$B$2:$B$1018,"ULL")</f>
        <v>1.4888888888888889</v>
      </c>
      <c r="F7" s="1">
        <f>SUMIFS('Zápisník letů'!$L$2:$L$1018,'Zápisník letů'!$A$2:$A$1018,"&gt;="&amp;DATE($A7,1,1),'Zápisník letů'!$A$2:$A$1018,"&lt;"&amp;DATE($A7+1,1,1),'Zápisník letů'!$Q$2:$Q$1018,"PIC",'Zápisník letů'!$B$2:$B$1018,"EASA")</f>
        <v>4.166666666666663E-2</v>
      </c>
      <c r="G7" s="1">
        <f>SUMIFS('Zápisník letů'!$L$2:$L$1018,'Zápisník letů'!$A$2:$A$1018,"&gt;="&amp;DATE($A7,1,1),'Zápisník letů'!$A$2:$A$1018,"&lt;"&amp;DATE($A7+1,1,1),'Zápisník letů'!$Q$2:$Q$1018,"DUAL")</f>
        <v>9.5833333333333326E-2</v>
      </c>
      <c r="H7" s="1">
        <f>SUMIFS('Zápisník letů'!$L$2:$L$1018,'Zápisník letů'!$A$2:$A$1018,"&gt;="&amp;DATE($A7,1,1),'Zápisník letů'!$A$2:$A$1018,"&lt;"&amp;DATE($A7+1,1,1),'Zápisník letů'!$Q$2:$Q$1018,"INSTRUKTOR")</f>
        <v>0</v>
      </c>
      <c r="I7" s="1">
        <f>SUMIFS('Zápisník letů'!$L$2:$L$1018,'Zápisník letů'!$A$2:$A$1018,"&gt;="&amp;DATE($A7,1,1),'Zápisník letů'!$A$2:$A$1018,"&lt;"&amp;DATE($A7+1,1,1),'Zápisník letů'!$Q$2:$Q$1018,"SAFETY PILOT")</f>
        <v>0</v>
      </c>
      <c r="J7" s="1">
        <f>SUMIFS('Zápisník letů'!$L$2:$L$1018,'Zápisník letů'!$A$2:$A$1018,"&gt;="&amp;DATE($A7,1,1),'Zápisník letů'!$A$2:$A$1018,"&lt;"&amp;DATE($A7+1,1,1),'Zápisník letů'!$B$2:$B$1018,"ULL")</f>
        <v>1.5694444444444446</v>
      </c>
      <c r="K7" s="1">
        <f>SUMIFS('Zápisník letů'!$L$2:$L$1018,'Zápisník letů'!$A$2:$A$1018,"&gt;="&amp;DATE($A7,1,1),'Zápisník letů'!$A$2:$A$1018,"&lt;"&amp;DATE($A7+1,1,1),'Zápisník letů'!$B$2:$B$1018,"EASA")</f>
        <v>5.6944444444444464E-2</v>
      </c>
      <c r="L7" s="26">
        <f>SUMIFS('Zápisník letů'!$N$2:$N$1018,'Zápisník letů'!$A$2:$A$1018,"&gt;="&amp;DATE($A7,1,1),'Zápisník letů'!$A$2:$A$1018,"&lt;"&amp;DATE($A7+1,1,1))</f>
        <v>70</v>
      </c>
      <c r="M7" s="28">
        <f>SUMIFS('Zápisník letů'!$T$2:$T$1018,'Zápisník letů'!$A$2:$A$1018,"&gt;="&amp;DATE($A7,1,1),'Zápisník letů'!$A$2:$A$1018,"&lt;"&amp;DATE($A7+1,1,1))</f>
        <v>90959.32</v>
      </c>
    </row>
    <row r="8" spans="1:23">
      <c r="A8">
        <v>2024</v>
      </c>
      <c r="B8">
        <f>COUNTIFS('Zápisník letů'!$A$2:$A$1018,"&gt;="&amp;DATE($A8,1,1),'Zápisník letů'!$A$2:$A$1018,"&lt;"&amp;DATE($A8+1,1,1))</f>
        <v>37</v>
      </c>
      <c r="C8" s="1">
        <f>SUMIFS('Zápisník letů'!$L$2:$L$1018,'Zápisník letů'!$A$2:$A$1018,"&gt;="&amp;DATE($A8,1,1),'Zápisník letů'!$A$2:$A$1018,"&lt;"&amp;DATE($A8+1,1,1))</f>
        <v>2.0076388888888892</v>
      </c>
      <c r="D8" s="1">
        <f>SUMIFS('Zápisník letů'!$L$2:$L$1018,'Zápisník letů'!$A$2:$A$1018,"&gt;="&amp;DATE($A8,1,1),'Zápisník letů'!$A$2:$A$1018,"&lt;"&amp;DATE($A8+1,1,1),'Zápisník letů'!$Q$2:$Q$1018,"PIC")</f>
        <v>1.4993055555555561</v>
      </c>
      <c r="E8" s="1">
        <f>SUMIFS('Zápisník letů'!$L$2:$L$1018,'Zápisník letů'!$A$2:$A$1018,"&gt;="&amp;DATE($A8,1,1),'Zápisník letů'!$A$2:$A$1018,"&lt;"&amp;DATE($A8+1,1,1),'Zápisník letů'!$Q$2:$Q$1018,"PIC",'Zápisník letů'!$B$2:$B$1018,"ULL")</f>
        <v>1.3847222222222224</v>
      </c>
      <c r="F8" s="1">
        <f>SUMIFS('Zápisník letů'!$L$2:$L$1018,'Zápisník letů'!$A$2:$A$1018,"&gt;="&amp;DATE($A8,1,1),'Zápisník letů'!$A$2:$A$1018,"&lt;"&amp;DATE($A8+1,1,1),'Zápisník letů'!$Q$2:$Q$1018,"PIC",'Zápisník letů'!$B$2:$B$1018,"EASA")</f>
        <v>0.11458333333333337</v>
      </c>
      <c r="G8" s="1">
        <f>SUMIFS('Zápisník letů'!$L$2:$L$1018,'Zápisník letů'!$A$2:$A$1018,"&gt;="&amp;DATE($A8,1,1),'Zápisník letů'!$A$2:$A$1018,"&lt;"&amp;DATE($A8+1,1,1),'Zápisník letů'!$Q$2:$Q$1018,"DUAL")</f>
        <v>0.4236111111111111</v>
      </c>
      <c r="H8" s="1">
        <f>SUMIFS('Zápisník letů'!$L$2:$L$1018,'Zápisník letů'!$A$2:$A$1018,"&gt;="&amp;DATE($A8,1,1),'Zápisník letů'!$A$2:$A$1018,"&lt;"&amp;DATE($A8+1,1,1),'Zápisník letů'!$Q$2:$Q$1018,"INSTRUKTOR")</f>
        <v>0</v>
      </c>
      <c r="I8" s="1">
        <f>SUMIFS('Zápisník letů'!$L$2:$L$1018,'Zápisník letů'!$A$2:$A$1018,"&gt;="&amp;DATE($A8,1,1),'Zápisník letů'!$A$2:$A$1018,"&lt;"&amp;DATE($A8+1,1,1),'Zápisník letů'!$Q$2:$Q$1018,"SAFETY PILOT")</f>
        <v>8.4722222222222254E-2</v>
      </c>
      <c r="J8" s="1">
        <f>SUMIFS('Zápisník letů'!$L$2:$L$1018,'Zápisník letů'!$A$2:$A$1018,"&gt;="&amp;DATE($A8,1,1),'Zápisník letů'!$A$2:$A$1018,"&lt;"&amp;DATE($A8+1,1,1),'Zápisník letů'!$B$2:$B$1018,"ULL")</f>
        <v>1.5013888888888891</v>
      </c>
      <c r="K8" s="1">
        <f>SUMIFS('Zápisník letů'!$L$2:$L$1018,'Zápisník letů'!$A$2:$A$1018,"&gt;="&amp;DATE($A8,1,1),'Zápisník letů'!$A$2:$A$1018,"&lt;"&amp;DATE($A8+1,1,1),'Zápisník letů'!$B$2:$B$1018,"EASA")</f>
        <v>0.50624999999999998</v>
      </c>
      <c r="L8" s="26">
        <f>SUMIFS('Zápisník letů'!$N$2:$N$1018,'Zápisník letů'!$A$2:$A$1018,"&gt;="&amp;DATE($A8,1,1),'Zápisník letů'!$A$2:$A$1018,"&lt;"&amp;DATE($A8+1,1,1))</f>
        <v>103</v>
      </c>
      <c r="M8" s="28">
        <f>SUMIFS('Zápisník letů'!$T$2:$T$1018,'Zápisník letů'!$A$2:$A$1018,"&gt;="&amp;DATE($A8,1,1),'Zápisník letů'!$A$2:$A$1018,"&lt;"&amp;DATE($A8+1,1,1))</f>
        <v>122551.67</v>
      </c>
    </row>
    <row r="9" spans="1:23">
      <c r="A9">
        <v>2025</v>
      </c>
      <c r="B9">
        <f>COUNTIFS('Zápisník letů'!$A$2:$A$1018,"&gt;="&amp;DATE($A9,1,1),'Zápisník letů'!$A$2:$A$1018,"&lt;"&amp;DATE($A9+1,1,1))</f>
        <v>30</v>
      </c>
      <c r="C9" s="1">
        <f>SUMIFS('Zápisník letů'!$L$2:$L$1018,'Zápisník letů'!$A$2:$A$1018,"&gt;="&amp;DATE($A9,1,1),'Zápisník letů'!$A$2:$A$1018,"&lt;"&amp;DATE($A9+1,1,1))</f>
        <v>1.9472222222222217</v>
      </c>
      <c r="D9" s="1">
        <f>SUMIFS('Zápisník letů'!$L$2:$L$1018,'Zápisník letů'!$A$2:$A$1018,"&gt;="&amp;DATE($A9,1,1),'Zápisník letů'!$A$2:$A$1018,"&lt;"&amp;DATE($A9+1,1,1),'Zápisník letů'!$Q$2:$Q$1018,"PIC")</f>
        <v>1.4763888888888888</v>
      </c>
      <c r="E9" s="1">
        <f>SUMIFS('Zápisník letů'!$L$2:$L$1018,'Zápisník letů'!$A$2:$A$1018,"&gt;="&amp;DATE($A9,1,1),'Zápisník letů'!$A$2:$A$1018,"&lt;"&amp;DATE($A9+1,1,1),'Zápisník letů'!$Q$2:$Q$1018,"PIC",'Zápisník letů'!$B$2:$B$1018,"ULL")</f>
        <v>1.4555555555555555</v>
      </c>
      <c r="F9" s="1">
        <f>SUMIFS('Zápisník letů'!$L$2:$L$1018,'Zápisník letů'!$A$2:$A$1018,"&gt;="&amp;DATE($A9,1,1),'Zápisník letů'!$A$2:$A$1018,"&lt;"&amp;DATE($A9+1,1,1),'Zápisník letů'!$Q$2:$Q$1018,"PIC",'Zápisník letů'!$B$2:$B$1018,"EASA")</f>
        <v>2.0833333333333315E-2</v>
      </c>
      <c r="G9" s="1">
        <f>SUMIFS('Zápisník letů'!$L$2:$L$1018,'Zápisník letů'!$A$2:$A$1018,"&gt;="&amp;DATE($A9,1,1),'Zápisník letů'!$A$2:$A$1018,"&lt;"&amp;DATE($A9+1,1,1),'Zápisník letů'!$Q$2:$Q$1018,"DUAL")</f>
        <v>6.7361111111111038E-2</v>
      </c>
      <c r="H9" s="1">
        <f>SUMIFS('Zápisník letů'!$L$2:$L$1018,'Zápisník letů'!$A$2:$A$1018,"&gt;="&amp;DATE($A9,1,1),'Zápisník letů'!$A$2:$A$1018,"&lt;"&amp;DATE($A9+1,1,1),'Zápisník letů'!$Q$2:$Q$1018,"INSTRUKTOR")</f>
        <v>0</v>
      </c>
      <c r="I9" s="1">
        <f>SUMIFS('Zápisník letů'!$L$2:$L$1018,'Zápisník letů'!$A$2:$A$1018,"&gt;="&amp;DATE($A9,1,1),'Zápisník letů'!$A$2:$A$1018,"&lt;"&amp;DATE($A9+1,1,1),'Zápisník letů'!$Q$2:$Q$1018,"SAFETY PILOT")</f>
        <v>0.40347222222222201</v>
      </c>
      <c r="J9" s="1">
        <f>SUMIFS('Zápisník letů'!$L$2:$L$1018,'Zápisník letů'!$A$2:$A$1018,"&gt;="&amp;DATE($A9,1,1),'Zápisník letů'!$A$2:$A$1018,"&lt;"&amp;DATE($A9+1,1,1),'Zápisník letů'!$B$2:$B$1018,"ULL")</f>
        <v>1.7020833333333329</v>
      </c>
      <c r="K9" s="1">
        <f>SUMIFS('Zápisník letů'!$L$2:$L$1018,'Zápisník letů'!$A$2:$A$1018,"&gt;="&amp;DATE($A9,1,1),'Zápisník letů'!$A$2:$A$1018,"&lt;"&amp;DATE($A9+1,1,1),'Zápisník letů'!$B$2:$B$1018,"EASA")</f>
        <v>0.2451388888888888</v>
      </c>
      <c r="L9" s="26">
        <f>SUMIFS('Zápisník letů'!$N$2:$N$1018,'Zápisník letů'!$A$2:$A$1018,"&gt;="&amp;DATE($A9,1,1),'Zápisník letů'!$A$2:$A$1018,"&lt;"&amp;DATE($A9+1,1,1))</f>
        <v>57</v>
      </c>
      <c r="M9" s="28">
        <f>SUMIFS('Zápisník letů'!$T$2:$T$1018,'Zápisník letů'!$A$2:$A$1018,"&gt;="&amp;DATE($A9,1,1),'Zápisník letů'!$A$2:$A$1018,"&lt;"&amp;DATE($A9+1,1,1))</f>
        <v>130158.67</v>
      </c>
    </row>
    <row r="10" spans="1:23">
      <c r="A10">
        <v>2026</v>
      </c>
      <c r="B10">
        <f>COUNTIFS('Zápisník letů'!$A$2:$A$1018,"&gt;="&amp;DATE($A10,1,1),'Zápisník letů'!$A$2:$A$1018,"&lt;"&amp;DATE($A10+1,1,1))</f>
        <v>15</v>
      </c>
      <c r="C10" s="1">
        <f>SUMIFS('Zápisník letů'!$L$2:$L$1018,'Zápisník letů'!$A$2:$A$1018,"&gt;="&amp;DATE($A10,1,1),'Zápisník letů'!$A$2:$A$1018,"&lt;"&amp;DATE($A10+1,1,1))</f>
        <v>0.89097222222222239</v>
      </c>
      <c r="D10" s="1">
        <f>SUMIFS('Zápisník letů'!$L$2:$L$1018,'Zápisník letů'!$A$2:$A$1018,"&gt;="&amp;DATE($A10,1,1),'Zápisník letů'!$A$2:$A$1018,"&lt;"&amp;DATE($A10+1,1,1),'Zápisník letů'!$Q$2:$Q$1018,"PIC")</f>
        <v>0.31041666666666679</v>
      </c>
      <c r="E10" s="1">
        <f>SUMIFS('Zápisník letů'!$L$2:$L$1018,'Zápisník letů'!$A$2:$A$1018,"&gt;="&amp;DATE($A10,1,1),'Zápisník letů'!$A$2:$A$1018,"&lt;"&amp;DATE($A10+1,1,1),'Zápisník letů'!$Q$2:$Q$1018,"PIC",'Zápisník letů'!$B$2:$B$1018,"ULL")</f>
        <v>0.24097222222222225</v>
      </c>
      <c r="F10" s="1">
        <f>SUMIFS('Zápisník letů'!$L$2:$L$1018,'Zápisník letů'!$A$2:$A$1018,"&gt;="&amp;DATE($A10,1,1),'Zápisník letů'!$A$2:$A$1018,"&lt;"&amp;DATE($A10+1,1,1),'Zápisník letů'!$Q$2:$Q$1018,"PIC",'Zápisník letů'!$B$2:$B$1018,"EASA")</f>
        <v>6.9444444444444531E-2</v>
      </c>
      <c r="G10" s="1">
        <f>SUMIFS('Zápisník letů'!$L$2:$L$1018,'Zápisník letů'!$A$2:$A$1018,"&gt;="&amp;DATE($A10,1,1),'Zápisník letů'!$A$2:$A$1018,"&lt;"&amp;DATE($A10+1,1,1),'Zápisník letů'!$Q$2:$Q$1018,"DUAL")</f>
        <v>0</v>
      </c>
      <c r="H10" s="1">
        <f>SUMIFS('Zápisník letů'!$L$2:$L$1018,'Zápisník letů'!$A$2:$A$1018,"&gt;="&amp;DATE($A10,1,1),'Zápisník letů'!$A$2:$A$1018,"&lt;"&amp;DATE($A10+1,1,1),'Zápisník letů'!$Q$2:$Q$1018,"INSTRUKTOR")</f>
        <v>0</v>
      </c>
      <c r="I10" s="1">
        <f>SUMIFS('Zápisník letů'!$L$2:$L$1018,'Zápisník letů'!$A$2:$A$1018,"&gt;="&amp;DATE($A10,1,1),'Zápisník letů'!$A$2:$A$1018,"&lt;"&amp;DATE($A10+1,1,1),'Zápisník letů'!$Q$2:$Q$1018,"SAFETY PILOT")</f>
        <v>0.5805555555555556</v>
      </c>
      <c r="J10" s="1">
        <f>SUMIFS('Zápisník letů'!$L$2:$L$1018,'Zápisník letů'!$A$2:$A$1018,"&gt;="&amp;DATE($A10,1,1),'Zápisník letů'!$A$2:$A$1018,"&lt;"&amp;DATE($A10+1,1,1),'Zápisník letů'!$B$2:$B$1018,"ULL")</f>
        <v>0.37152777777777779</v>
      </c>
      <c r="K10" s="1">
        <f>SUMIFS('Zápisník letů'!$L$2:$L$1018,'Zápisník letů'!$A$2:$A$1018,"&gt;="&amp;DATE($A10,1,1),'Zápisník letů'!$A$2:$A$1018,"&lt;"&amp;DATE($A10+1,1,1),'Zápisník letů'!$B$2:$B$1018,"EASA")</f>
        <v>0.5194444444444446</v>
      </c>
      <c r="L10" s="26">
        <f>SUMIFS('Zápisník letů'!$N$2:$N$1018,'Zápisník letů'!$A$2:$A$1018,"&gt;="&amp;DATE($A10,1,1),'Zápisník letů'!$A$2:$A$1018,"&lt;"&amp;DATE($A10+1,1,1))</f>
        <v>23</v>
      </c>
      <c r="M10" s="28">
        <f>SUMIFS('Zápisník letů'!$T$2:$T$1018,'Zápisník letů'!$A$2:$A$1018,"&gt;="&amp;DATE($A10,1,1),'Zápisník letů'!$A$2:$A$1018,"&lt;"&amp;DATE($A10+1,1,1))</f>
        <v>91691.839999999997</v>
      </c>
    </row>
    <row r="11" spans="1:23">
      <c r="A11">
        <v>2027</v>
      </c>
      <c r="B11">
        <f>COUNTIFS('Zápisník letů'!$A$2:$A$1018,"&gt;="&amp;DATE($A11,1,1),'Zápisník letů'!$A$2:$A$1018,"&lt;"&amp;DATE($A11+1,1,1))</f>
        <v>0</v>
      </c>
      <c r="C11" s="1">
        <f>SUMIFS('Zápisník letů'!$L$2:$L$1018,'Zápisník letů'!$A$2:$A$1018,"&gt;="&amp;DATE($A11,1,1),'Zápisník letů'!$A$2:$A$1018,"&lt;"&amp;DATE($A11+1,1,1))</f>
        <v>0</v>
      </c>
      <c r="D11" s="1">
        <f>SUMIFS('Zápisník letů'!$L$2:$L$1018,'Zápisník letů'!$A$2:$A$1018,"&gt;="&amp;DATE($A11,1,1),'Zápisník letů'!$A$2:$A$1018,"&lt;"&amp;DATE($A11+1,1,1),'Zápisník letů'!$Q$2:$Q$1018,"PIC")</f>
        <v>0</v>
      </c>
      <c r="E11" s="1">
        <f>SUMIFS('Zápisník letů'!$L$2:$L$1018,'Zápisník letů'!$A$2:$A$1018,"&gt;="&amp;DATE($A11,1,1),'Zápisník letů'!$A$2:$A$1018,"&lt;"&amp;DATE($A11+1,1,1),'Zápisník letů'!$Q$2:$Q$1018,"PIC",'Zápisník letů'!$B$2:$B$1018,"ULL")</f>
        <v>0</v>
      </c>
      <c r="F11" s="1">
        <f>SUMIFS('Zápisník letů'!$L$2:$L$1018,'Zápisník letů'!$A$2:$A$1018,"&gt;="&amp;DATE($A11,1,1),'Zápisník letů'!$A$2:$A$1018,"&lt;"&amp;DATE($A11+1,1,1),'Zápisník letů'!$Q$2:$Q$1018,"PIC",'Zápisník letů'!$B$2:$B$1018,"EASA")</f>
        <v>0</v>
      </c>
      <c r="G11" s="1">
        <f>SUMIFS('Zápisník letů'!$L$2:$L$1018,'Zápisník letů'!$A$2:$A$1018,"&gt;="&amp;DATE($A11,1,1),'Zápisník letů'!$A$2:$A$1018,"&lt;"&amp;DATE($A11+1,1,1),'Zápisník letů'!$Q$2:$Q$1018,"DUAL")</f>
        <v>0</v>
      </c>
      <c r="H11" s="1">
        <f>SUMIFS('Zápisník letů'!$L$2:$L$1018,'Zápisník letů'!$A$2:$A$1018,"&gt;="&amp;DATE($A11,1,1),'Zápisník letů'!$A$2:$A$1018,"&lt;"&amp;DATE($A11+1,1,1),'Zápisník letů'!$Q$2:$Q$1018,"INSTRUKTOR")</f>
        <v>0</v>
      </c>
      <c r="I11" s="1">
        <f>SUMIFS('Zápisník letů'!$L$2:$L$1018,'Zápisník letů'!$A$2:$A$1018,"&gt;="&amp;DATE($A11,1,1),'Zápisník letů'!$A$2:$A$1018,"&lt;"&amp;DATE($A11+1,1,1),'Zápisník letů'!$Q$2:$Q$1018,"SAFETY PILOT")</f>
        <v>0</v>
      </c>
      <c r="J11" s="1">
        <f>SUMIFS('Zápisník letů'!$L$2:$L$1018,'Zápisník letů'!$A$2:$A$1018,"&gt;="&amp;DATE($A11,1,1),'Zápisník letů'!$A$2:$A$1018,"&lt;"&amp;DATE($A11+1,1,1),'Zápisník letů'!$B$2:$B$1018,"ULL")</f>
        <v>0</v>
      </c>
      <c r="K11" s="1">
        <f>SUMIFS('Zápisník letů'!$L$2:$L$1018,'Zápisník letů'!$A$2:$A$1018,"&gt;="&amp;DATE($A11,1,1),'Zápisník letů'!$A$2:$A$1018,"&lt;"&amp;DATE($A11+1,1,1),'Zápisník letů'!$B$2:$B$1018,"EASA")</f>
        <v>0</v>
      </c>
      <c r="L11" s="26">
        <f>SUMIFS('Zápisník letů'!$N$2:$N$1018,'Zápisník letů'!$A$2:$A$1018,"&gt;="&amp;DATE($A11,1,1),'Zápisník letů'!$A$2:$A$1018,"&lt;"&amp;DATE($A11+1,1,1))</f>
        <v>0</v>
      </c>
      <c r="M11" s="28">
        <f>SUMIFS('Zápisník letů'!$T$2:$T$1018,'Zápisník letů'!$A$2:$A$1018,"&gt;="&amp;DATE($A11,1,1),'Zápisník letů'!$A$2:$A$1018,"&lt;"&amp;DATE($A11+1,1,1))</f>
        <v>0</v>
      </c>
    </row>
    <row r="12" spans="1:23">
      <c r="A12">
        <v>2028</v>
      </c>
      <c r="B12">
        <f>COUNTIFS('Zápisník letů'!$A$2:$A$1018,"&gt;="&amp;DATE($A12,1,1),'Zápisník letů'!$A$2:$A$1018,"&lt;"&amp;DATE($A12+1,1,1))</f>
        <v>0</v>
      </c>
      <c r="C12" s="1">
        <f>SUMIFS('Zápisník letů'!$L$2:$L$1018,'Zápisník letů'!$A$2:$A$1018,"&gt;="&amp;DATE($A12,1,1),'Zápisník letů'!$A$2:$A$1018,"&lt;"&amp;DATE($A12+1,1,1))</f>
        <v>0</v>
      </c>
      <c r="D12" s="1">
        <f>SUMIFS('Zápisník letů'!$L$2:$L$1018,'Zápisník letů'!$A$2:$A$1018,"&gt;="&amp;DATE($A12,1,1),'Zápisník letů'!$A$2:$A$1018,"&lt;"&amp;DATE($A12+1,1,1),'Zápisník letů'!$Q$2:$Q$1018,"PIC")</f>
        <v>0</v>
      </c>
      <c r="E12" s="1">
        <f>SUMIFS('Zápisník letů'!$L$2:$L$1018,'Zápisník letů'!$A$2:$A$1018,"&gt;="&amp;DATE($A12,1,1),'Zápisník letů'!$A$2:$A$1018,"&lt;"&amp;DATE($A12+1,1,1),'Zápisník letů'!$Q$2:$Q$1018,"PIC",'Zápisník letů'!$B$2:$B$1018,"ULL")</f>
        <v>0</v>
      </c>
      <c r="F12" s="1">
        <f>SUMIFS('Zápisník letů'!$L$2:$L$1018,'Zápisník letů'!$A$2:$A$1018,"&gt;="&amp;DATE($A12,1,1),'Zápisník letů'!$A$2:$A$1018,"&lt;"&amp;DATE($A12+1,1,1),'Zápisník letů'!$Q$2:$Q$1018,"PIC",'Zápisník letů'!$B$2:$B$1018,"EASA")</f>
        <v>0</v>
      </c>
      <c r="G12" s="1">
        <f>SUMIFS('Zápisník letů'!$L$2:$L$1018,'Zápisník letů'!$A$2:$A$1018,"&gt;="&amp;DATE($A12,1,1),'Zápisník letů'!$A$2:$A$1018,"&lt;"&amp;DATE($A12+1,1,1),'Zápisník letů'!$Q$2:$Q$1018,"DUAL")</f>
        <v>0</v>
      </c>
      <c r="H12" s="1">
        <f>SUMIFS('Zápisník letů'!$L$2:$L$1018,'Zápisník letů'!$A$2:$A$1018,"&gt;="&amp;DATE($A12,1,1),'Zápisník letů'!$A$2:$A$1018,"&lt;"&amp;DATE($A12+1,1,1),'Zápisník letů'!$Q$2:$Q$1018,"INSTRUKTOR")</f>
        <v>0</v>
      </c>
      <c r="I12" s="1">
        <f>SUMIFS('Zápisník letů'!$L$2:$L$1018,'Zápisník letů'!$A$2:$A$1018,"&gt;="&amp;DATE($A12,1,1),'Zápisník letů'!$A$2:$A$1018,"&lt;"&amp;DATE($A12+1,1,1),'Zápisník letů'!$Q$2:$Q$1018,"SAFETY PILOT")</f>
        <v>0</v>
      </c>
      <c r="J12" s="1">
        <f>SUMIFS('Zápisník letů'!$L$2:$L$1018,'Zápisník letů'!$A$2:$A$1018,"&gt;="&amp;DATE($A12,1,1),'Zápisník letů'!$A$2:$A$1018,"&lt;"&amp;DATE($A12+1,1,1),'Zápisník letů'!$B$2:$B$1018,"ULL")</f>
        <v>0</v>
      </c>
      <c r="K12" s="1">
        <f>SUMIFS('Zápisník letů'!$L$2:$L$1018,'Zápisník letů'!$A$2:$A$1018,"&gt;="&amp;DATE($A12,1,1),'Zápisník letů'!$A$2:$A$1018,"&lt;"&amp;DATE($A12+1,1,1),'Zápisník letů'!$B$2:$B$1018,"EASA")</f>
        <v>0</v>
      </c>
      <c r="L12" s="26">
        <f>SUMIFS('Zápisník letů'!$N$2:$N$1018,'Zápisník letů'!$A$2:$A$1018,"&gt;="&amp;DATE($A12,1,1),'Zápisník letů'!$A$2:$A$1018,"&lt;"&amp;DATE($A12+1,1,1))</f>
        <v>0</v>
      </c>
      <c r="M12" s="28">
        <f>SUMIFS('Zápisník letů'!$T$2:$T$1018,'Zápisník letů'!$A$2:$A$1018,"&gt;="&amp;DATE($A12,1,1),'Zápisník letů'!$A$2:$A$1018,"&lt;"&amp;DATE($A12+1,1,1))</f>
        <v>0</v>
      </c>
    </row>
    <row r="13" spans="1:23">
      <c r="A13">
        <v>2029</v>
      </c>
      <c r="B13">
        <f>COUNTIFS('Zápisník letů'!$A$2:$A$1018,"&gt;="&amp;DATE($A13,1,1),'Zápisník letů'!$A$2:$A$1018,"&lt;"&amp;DATE($A13+1,1,1))</f>
        <v>0</v>
      </c>
      <c r="C13" s="1">
        <f>SUMIFS('Zápisník letů'!$L$2:$L$1018,'Zápisník letů'!$A$2:$A$1018,"&gt;="&amp;DATE($A13,1,1),'Zápisník letů'!$A$2:$A$1018,"&lt;"&amp;DATE($A13+1,1,1))</f>
        <v>0</v>
      </c>
      <c r="D13" s="1">
        <f>SUMIFS('Zápisník letů'!$L$2:$L$1018,'Zápisník letů'!$A$2:$A$1018,"&gt;="&amp;DATE($A13,1,1),'Zápisník letů'!$A$2:$A$1018,"&lt;"&amp;DATE($A13+1,1,1),'Zápisník letů'!$Q$2:$Q$1018,"PIC")</f>
        <v>0</v>
      </c>
      <c r="E13" s="1">
        <f>SUMIFS('Zápisník letů'!$L$2:$L$1018,'Zápisník letů'!$A$2:$A$1018,"&gt;="&amp;DATE($A13,1,1),'Zápisník letů'!$A$2:$A$1018,"&lt;"&amp;DATE($A13+1,1,1),'Zápisník letů'!$Q$2:$Q$1018,"PIC",'Zápisník letů'!$B$2:$B$1018,"ULL")</f>
        <v>0</v>
      </c>
      <c r="F13" s="1">
        <f>SUMIFS('Zápisník letů'!$L$2:$L$1018,'Zápisník letů'!$A$2:$A$1018,"&gt;="&amp;DATE($A13,1,1),'Zápisník letů'!$A$2:$A$1018,"&lt;"&amp;DATE($A13+1,1,1),'Zápisník letů'!$Q$2:$Q$1018,"PIC",'Zápisník letů'!$B$2:$B$1018,"EASA")</f>
        <v>0</v>
      </c>
      <c r="G13" s="1">
        <f>SUMIFS('Zápisník letů'!$L$2:$L$1018,'Zápisník letů'!$A$2:$A$1018,"&gt;="&amp;DATE($A13,1,1),'Zápisník letů'!$A$2:$A$1018,"&lt;"&amp;DATE($A13+1,1,1),'Zápisník letů'!$Q$2:$Q$1018,"DUAL")</f>
        <v>0</v>
      </c>
      <c r="H13" s="1">
        <f>SUMIFS('Zápisník letů'!$L$2:$L$1018,'Zápisník letů'!$A$2:$A$1018,"&gt;="&amp;DATE($A13,1,1),'Zápisník letů'!$A$2:$A$1018,"&lt;"&amp;DATE($A13+1,1,1),'Zápisník letů'!$Q$2:$Q$1018,"INSTRUKTOR")</f>
        <v>0</v>
      </c>
      <c r="I13" s="1">
        <f>SUMIFS('Zápisník letů'!$L$2:$L$1018,'Zápisník letů'!$A$2:$A$1018,"&gt;="&amp;DATE($A13,1,1),'Zápisník letů'!$A$2:$A$1018,"&lt;"&amp;DATE($A13+1,1,1),'Zápisník letů'!$Q$2:$Q$1018,"SAFETY PILOT")</f>
        <v>0</v>
      </c>
      <c r="J13" s="1">
        <f>SUMIFS('Zápisník letů'!$L$2:$L$1018,'Zápisník letů'!$A$2:$A$1018,"&gt;="&amp;DATE($A13,1,1),'Zápisník letů'!$A$2:$A$1018,"&lt;"&amp;DATE($A13+1,1,1),'Zápisník letů'!$B$2:$B$1018,"ULL")</f>
        <v>0</v>
      </c>
      <c r="K13" s="1">
        <f>SUMIFS('Zápisník letů'!$L$2:$L$1018,'Zápisník letů'!$A$2:$A$1018,"&gt;="&amp;DATE($A13,1,1),'Zápisník letů'!$A$2:$A$1018,"&lt;"&amp;DATE($A13+1,1,1),'Zápisník letů'!$B$2:$B$1018,"EASA")</f>
        <v>0</v>
      </c>
      <c r="L13" s="26">
        <f>SUMIFS('Zápisník letů'!$N$2:$N$1018,'Zápisník letů'!$A$2:$A$1018,"&gt;="&amp;DATE($A13,1,1),'Zápisník letů'!$A$2:$A$1018,"&lt;"&amp;DATE($A13+1,1,1))</f>
        <v>0</v>
      </c>
      <c r="M13" s="28">
        <f>SUMIFS('Zápisník letů'!$T$2:$T$1018,'Zápisník letů'!$A$2:$A$1018,"&gt;="&amp;DATE($A13,1,1),'Zápisník letů'!$A$2:$A$1018,"&lt;"&amp;DATE($A13+1,1,1))</f>
        <v>0</v>
      </c>
    </row>
    <row r="14" spans="1:23">
      <c r="A14">
        <v>2030</v>
      </c>
      <c r="B14">
        <f>COUNTIFS('Zápisník letů'!$A$2:$A$1018,"&gt;="&amp;DATE($A14,1,1),'Zápisník letů'!$A$2:$A$1018,"&lt;"&amp;DATE($A14+1,1,1))</f>
        <v>0</v>
      </c>
      <c r="C14" s="1">
        <f>SUMIFS('Zápisník letů'!$L$2:$L$1018,'Zápisník letů'!$A$2:$A$1018,"&gt;="&amp;DATE($A14,1,1),'Zápisník letů'!$A$2:$A$1018,"&lt;"&amp;DATE($A14+1,1,1))</f>
        <v>0</v>
      </c>
      <c r="D14" s="1">
        <f>SUMIFS('Zápisník letů'!$L$2:$L$1018,'Zápisník letů'!$A$2:$A$1018,"&gt;="&amp;DATE($A14,1,1),'Zápisník letů'!$A$2:$A$1018,"&lt;"&amp;DATE($A14+1,1,1),'Zápisník letů'!$Q$2:$Q$1018,"PIC")</f>
        <v>0</v>
      </c>
      <c r="E14" s="1">
        <f>SUMIFS('Zápisník letů'!$L$2:$L$1018,'Zápisník letů'!$A$2:$A$1018,"&gt;="&amp;DATE($A14,1,1),'Zápisník letů'!$A$2:$A$1018,"&lt;"&amp;DATE($A14+1,1,1),'Zápisník letů'!$Q$2:$Q$1018,"PIC",'Zápisník letů'!$B$2:$B$1018,"ULL")</f>
        <v>0</v>
      </c>
      <c r="F14" s="1">
        <f>SUMIFS('Zápisník letů'!$L$2:$L$1018,'Zápisník letů'!$A$2:$A$1018,"&gt;="&amp;DATE($A14,1,1),'Zápisník letů'!$A$2:$A$1018,"&lt;"&amp;DATE($A14+1,1,1),'Zápisník letů'!$Q$2:$Q$1018,"PIC",'Zápisník letů'!$B$2:$B$1018,"EASA")</f>
        <v>0</v>
      </c>
      <c r="G14" s="1">
        <f>SUMIFS('Zápisník letů'!$L$2:$L$1018,'Zápisník letů'!$A$2:$A$1018,"&gt;="&amp;DATE($A14,1,1),'Zápisník letů'!$A$2:$A$1018,"&lt;"&amp;DATE($A14+1,1,1),'Zápisník letů'!$Q$2:$Q$1018,"DUAL")</f>
        <v>0</v>
      </c>
      <c r="H14" s="1">
        <f>SUMIFS('Zápisník letů'!$L$2:$L$1018,'Zápisník letů'!$A$2:$A$1018,"&gt;="&amp;DATE($A14,1,1),'Zápisník letů'!$A$2:$A$1018,"&lt;"&amp;DATE($A14+1,1,1),'Zápisník letů'!$Q$2:$Q$1018,"INSTRUKTOR")</f>
        <v>0</v>
      </c>
      <c r="I14" s="1">
        <f>SUMIFS('Zápisník letů'!$L$2:$L$1018,'Zápisník letů'!$A$2:$A$1018,"&gt;="&amp;DATE($A14,1,1),'Zápisník letů'!$A$2:$A$1018,"&lt;"&amp;DATE($A14+1,1,1),'Zápisník letů'!$Q$2:$Q$1018,"SAFETY PILOT")</f>
        <v>0</v>
      </c>
      <c r="J14" s="1">
        <f>SUMIFS('Zápisník letů'!$L$2:$L$1018,'Zápisník letů'!$A$2:$A$1018,"&gt;="&amp;DATE($A14,1,1),'Zápisník letů'!$A$2:$A$1018,"&lt;"&amp;DATE($A14+1,1,1),'Zápisník letů'!$B$2:$B$1018,"ULL")</f>
        <v>0</v>
      </c>
      <c r="K14" s="1">
        <f>SUMIFS('Zápisník letů'!$L$2:$L$1018,'Zápisník letů'!$A$2:$A$1018,"&gt;="&amp;DATE($A14,1,1),'Zápisník letů'!$A$2:$A$1018,"&lt;"&amp;DATE($A14+1,1,1),'Zápisník letů'!$B$2:$B$1018,"EASA")</f>
        <v>0</v>
      </c>
      <c r="L14" s="26">
        <f>SUMIFS('Zápisník letů'!$N$2:$N$1018,'Zápisník letů'!$A$2:$A$1018,"&gt;="&amp;DATE($A14,1,1),'Zápisník letů'!$A$2:$A$1018,"&lt;"&amp;DATE($A14+1,1,1))</f>
        <v>0</v>
      </c>
      <c r="M14" s="28">
        <f>SUMIFS('Zápisník letů'!$T$2:$T$1018,'Zápisník letů'!$A$2:$A$1018,"&gt;="&amp;DATE($A14,1,1),'Zápisník letů'!$A$2:$A$1018,"&lt;"&amp;DATE($A14+1,1,1))</f>
        <v>0</v>
      </c>
    </row>
    <row r="18" spans="1:13" ht="15">
      <c r="A18" s="9" t="s">
        <v>16</v>
      </c>
      <c r="B18" s="9" t="s">
        <v>234</v>
      </c>
      <c r="C18" s="9" t="s">
        <v>237</v>
      </c>
      <c r="D18" s="9" t="s">
        <v>236</v>
      </c>
      <c r="F18" s="9" t="s">
        <v>2</v>
      </c>
      <c r="G18" s="9" t="s">
        <v>3</v>
      </c>
      <c r="H18" s="9" t="s">
        <v>1</v>
      </c>
      <c r="I18" s="9" t="s">
        <v>234</v>
      </c>
      <c r="J18" s="9" t="s">
        <v>235</v>
      </c>
      <c r="K18" s="9" t="s">
        <v>27</v>
      </c>
      <c r="L18" s="9" t="s">
        <v>13</v>
      </c>
      <c r="M18" s="9" t="s">
        <v>236</v>
      </c>
    </row>
    <row r="19" spans="1:13">
      <c r="A19" t="s">
        <v>27</v>
      </c>
      <c r="B19">
        <f>COUNTIF('Zápisník letů'!$Q$2:$Q$1018,$A19)</f>
        <v>146</v>
      </c>
      <c r="C19" s="1">
        <f>SUMIFS('Zápisník letů'!$L$2:$L$1018,'Zápisník letů'!$Q$2:$Q$1018,$A19)</f>
        <v>8.8541666666666625</v>
      </c>
      <c r="D19" s="28">
        <f>SUMIFS('Zápisník letů'!$T$2:$T$1018,'Zápisník letů'!$Q$2:$Q$1018,$A19)</f>
        <v>467828.49</v>
      </c>
      <c r="F19" t="s">
        <v>95</v>
      </c>
      <c r="G19" t="str">
        <f>IFERROR(INDEX('Zápisník letů'!$D$2:$D$1018,MATCH($F19,'Zápisník letů'!$C$2:$C$1018,0)),"")</f>
        <v>P208</v>
      </c>
      <c r="H19" t="str">
        <f>IFERROR(INDEX('Zápisník letů'!$B$2:$B$1018,MATCH($F19,'Zápisník letů'!$C$2:$C$1018,0)),"")</f>
        <v>EASA</v>
      </c>
      <c r="I19">
        <f>COUNTIF('Zápisník letů'!$C$2:$C$1018,$F19)</f>
        <v>12</v>
      </c>
      <c r="J19" s="1">
        <f>SUMIFS('Zápisník letů'!$L$2:$L$1018,'Zápisník letů'!$C$2:$C$1018,$F19)</f>
        <v>0.50624999999999998</v>
      </c>
      <c r="K19" s="1">
        <f>SUMIFS('Zápisník letů'!$L$2:$L$1018,'Zápisník letů'!$C$2:$C$1018,$F19,'Zápisník letů'!$Q$2:$Q$1018,"PIC")</f>
        <v>0.11458333333333337</v>
      </c>
      <c r="L19" s="26">
        <f>SUMIFS('Zápisník letů'!$N$2:$N$1018,'Zápisník letů'!$C$2:$C$1018,$F19)</f>
        <v>34</v>
      </c>
      <c r="M19" s="28">
        <f>SUMIFS('Zápisník letů'!$T$2:$T$1018,'Zápisník letů'!$C$2:$C$1018,$F19)</f>
        <v>37179</v>
      </c>
    </row>
    <row r="20" spans="1:13">
      <c r="A20" t="s">
        <v>32</v>
      </c>
      <c r="B20">
        <f>COUNTIF('Zápisník letů'!$Q$2:$Q$1018,$A20)</f>
        <v>33</v>
      </c>
      <c r="C20" s="1">
        <f>SUMIFS('Zápisník letů'!$L$2:$L$1018,'Zápisník letů'!$Q$2:$Q$1018,$A20)</f>
        <v>1.3375000000000001</v>
      </c>
      <c r="D20" s="28">
        <f>SUMIFS('Zápisník letů'!$T$2:$T$1018,'Zápisník letů'!$Q$2:$Q$1018,$A20)</f>
        <v>88069.33</v>
      </c>
      <c r="F20" t="s">
        <v>145</v>
      </c>
      <c r="G20" t="str">
        <f>IFERROR(INDEX('Zápisník letů'!$D$2:$D$1018,MATCH($F20,'Zápisník letů'!$C$2:$C$1018,0)),"")</f>
        <v>B23</v>
      </c>
      <c r="H20" t="str">
        <f>IFERROR(INDEX('Zápisník letů'!$B$2:$B$1018,MATCH($F20,'Zápisník letů'!$C$2:$C$1018,0)),"")</f>
        <v>EASA</v>
      </c>
      <c r="I20">
        <f>COUNTIF('Zápisník letů'!$C$2:$C$1018,$F20)</f>
        <v>2</v>
      </c>
      <c r="J20" s="1">
        <f>SUMIFS('Zápisník letů'!$L$2:$L$1018,'Zápisník letů'!$C$2:$C$1018,$F20)</f>
        <v>7.291666666666663E-2</v>
      </c>
      <c r="K20" s="1">
        <f>SUMIFS('Zápisník letů'!$L$2:$L$1018,'Zápisník letů'!$C$2:$C$1018,$F20,'Zápisník letů'!$Q$2:$Q$1018,"PIC")</f>
        <v>2.0833333333333315E-2</v>
      </c>
      <c r="L20" s="26">
        <f>SUMIFS('Zápisník letů'!$N$2:$N$1018,'Zápisník letů'!$C$2:$C$1018,$F20)</f>
        <v>9</v>
      </c>
      <c r="M20" s="28">
        <f>SUMIFS('Zápisník letů'!$T$2:$T$1018,'Zápisník letů'!$C$2:$C$1018,$F20)</f>
        <v>5355</v>
      </c>
    </row>
    <row r="21" spans="1:13">
      <c r="A21" t="s">
        <v>209</v>
      </c>
      <c r="B21">
        <f>COUNTIF('Zápisník letů'!$Q$2:$Q$1018,$A21)</f>
        <v>0</v>
      </c>
      <c r="C21" s="1">
        <f>SUMIFS('Zápisník letů'!$L$2:$L$1018,'Zápisník letů'!$Q$2:$Q$1018,$A21)</f>
        <v>0</v>
      </c>
      <c r="D21" s="28">
        <f>SUMIFS('Zápisník letů'!$T$2:$T$1018,'Zápisník letů'!$Q$2:$Q$1018,$A21)</f>
        <v>0</v>
      </c>
      <c r="F21" t="s">
        <v>55</v>
      </c>
      <c r="G21" t="str">
        <f>IFERROR(INDEX('Zápisník letů'!$D$2:$D$1018,MATCH($F21,'Zápisník letů'!$C$2:$C$1018,0)),"")</f>
        <v>P208</v>
      </c>
      <c r="H21" t="str">
        <f>IFERROR(INDEX('Zápisník letů'!$B$2:$B$1018,MATCH($F21,'Zápisník letů'!$C$2:$C$1018,0)),"")</f>
        <v>EASA</v>
      </c>
      <c r="I21">
        <f>COUNTIF('Zápisník letů'!$C$2:$C$1018,$F21)</f>
        <v>4</v>
      </c>
      <c r="J21" s="1">
        <f>SUMIFS('Zápisník letů'!$L$2:$L$1018,'Zápisník letů'!$C$2:$C$1018,$F21)</f>
        <v>8.7500000000000022E-2</v>
      </c>
      <c r="K21" s="1">
        <f>SUMIFS('Zápisník letů'!$L$2:$L$1018,'Zápisník letů'!$C$2:$C$1018,$F21,'Zápisník letů'!$Q$2:$Q$1018,"PIC")</f>
        <v>1.2499999999999956E-2</v>
      </c>
      <c r="L21" s="26">
        <f>SUMIFS('Zápisník letů'!$N$2:$N$1018,'Zápisník letů'!$C$2:$C$1018,$F21)</f>
        <v>34</v>
      </c>
      <c r="M21" s="28">
        <f>SUMIFS('Zápisník letů'!$T$2:$T$1018,'Zápisník letů'!$C$2:$C$1018,$F21)</f>
        <v>5670</v>
      </c>
    </row>
    <row r="22" spans="1:13">
      <c r="A22" t="s">
        <v>108</v>
      </c>
      <c r="B22">
        <f>COUNTIF('Zápisník letů'!$Q$2:$Q$1018,$A22)</f>
        <v>16</v>
      </c>
      <c r="C22" s="1">
        <f>SUMIFS('Zápisník letů'!$L$2:$L$1018,'Zápisník letů'!$Q$2:$Q$1018,$A22)</f>
        <v>1.0687500000000001</v>
      </c>
      <c r="D22" s="28">
        <f>SUMIFS('Zápisník letů'!$T$2:$T$1018,'Zápisník letů'!$Q$2:$Q$1018,$A22)</f>
        <v>122996.68</v>
      </c>
      <c r="F22" t="s">
        <v>150</v>
      </c>
      <c r="G22" t="str">
        <f>IFERROR(INDEX('Zápisník letů'!$D$2:$D$1018,MATCH($F22,'Zápisník letů'!$C$2:$C$1018,0)),"")</f>
        <v>Bristell</v>
      </c>
      <c r="H22" t="str">
        <f>IFERROR(INDEX('Zápisník letů'!$B$2:$B$1018,MATCH($F22,'Zápisník letů'!$C$2:$C$1018,0)),"")</f>
        <v>EASA</v>
      </c>
      <c r="I22">
        <f>COUNTIF('Zápisník letů'!$C$2:$C$1018,$F22)</f>
        <v>2</v>
      </c>
      <c r="J22" s="1">
        <f>SUMIFS('Zápisník letů'!$L$2:$L$1018,'Zápisník letů'!$C$2:$C$1018,$F22)</f>
        <v>6.9444444444444531E-2</v>
      </c>
      <c r="K22" s="1">
        <f>SUMIFS('Zápisník letů'!$L$2:$L$1018,'Zápisník letů'!$C$2:$C$1018,$F22,'Zápisník letů'!$Q$2:$Q$1018,"PIC")</f>
        <v>6.9444444444444531E-2</v>
      </c>
      <c r="L22" s="26">
        <f>SUMIFS('Zápisník letů'!$N$2:$N$1018,'Zápisník letů'!$C$2:$C$1018,$F22)</f>
        <v>8</v>
      </c>
      <c r="M22" s="28">
        <f>SUMIFS('Zápisník letů'!$T$2:$T$1018,'Zápisník letů'!$C$2:$C$1018,$F22)</f>
        <v>5100</v>
      </c>
    </row>
    <row r="23" spans="1:13">
      <c r="A23" t="s">
        <v>212</v>
      </c>
      <c r="B23">
        <f>COUNTIF('Zápisník letů'!$Q$2:$Q$1018,$A23)</f>
        <v>0</v>
      </c>
      <c r="C23" s="1">
        <f>SUMIFS('Zápisník letů'!$L$2:$L$1018,'Zápisník letů'!$Q$2:$Q$1018,$A23)</f>
        <v>0</v>
      </c>
      <c r="D23" s="28">
        <f>SUMIFS('Zápisník letů'!$T$2:$T$1018,'Zápisník letů'!$Q$2:$Q$1018,$A23)</f>
        <v>0</v>
      </c>
      <c r="F23" t="s">
        <v>79</v>
      </c>
      <c r="G23" t="str">
        <f>IFERROR(INDEX('Zápisník letů'!$D$2:$D$1018,MATCH($F23,'Zápisník letů'!$C$2:$C$1018,0)),"")</f>
        <v>P92 Echo</v>
      </c>
      <c r="H23" t="str">
        <f>IFERROR(INDEX('Zápisník letů'!$B$2:$B$1018,MATCH($F23,'Zápisník letů'!$C$2:$C$1018,0)),"")</f>
        <v>ULL</v>
      </c>
      <c r="I23">
        <f>COUNTIF('Zápisník letů'!$C$2:$C$1018,$F23)</f>
        <v>4</v>
      </c>
      <c r="J23" s="1">
        <f>SUMIFS('Zápisník letů'!$L$2:$L$1018,'Zápisník letů'!$C$2:$C$1018,$F23)</f>
        <v>0.31527777777777766</v>
      </c>
      <c r="K23" s="1">
        <f>SUMIFS('Zápisník letů'!$L$2:$L$1018,'Zápisník letů'!$C$2:$C$1018,$F23,'Zápisník letů'!$Q$2:$Q$1018,"PIC")</f>
        <v>0.28333333333333333</v>
      </c>
      <c r="L23" s="26">
        <f>SUMIFS('Zápisník letů'!$N$2:$N$1018,'Zápisník letů'!$C$2:$C$1018,$F23)</f>
        <v>12</v>
      </c>
      <c r="M23" s="28">
        <f>SUMIFS('Zápisník letů'!$T$2:$T$1018,'Zápisník letů'!$C$2:$C$1018,$F23)</f>
        <v>16268.32</v>
      </c>
    </row>
    <row r="24" spans="1:13">
      <c r="A24" t="s">
        <v>214</v>
      </c>
      <c r="B24">
        <f>COUNTIF('Zápisník letů'!$Q$2:$Q$1018,$A24)</f>
        <v>0</v>
      </c>
      <c r="C24" s="1">
        <f>SUMIFS('Zápisník letů'!$L$2:$L$1018,'Zápisník letů'!$Q$2:$Q$1018,$A24)</f>
        <v>0</v>
      </c>
      <c r="D24" s="28">
        <f>SUMIFS('Zápisník letů'!$T$2:$T$1018,'Zápisník letů'!$Q$2:$Q$1018,$A24)</f>
        <v>0</v>
      </c>
      <c r="F24" t="s">
        <v>82</v>
      </c>
      <c r="G24" t="str">
        <f>IFERROR(INDEX('Zápisník letů'!$D$2:$D$1018,MATCH($F24,'Zápisník letů'!$C$2:$C$1018,0)),"")</f>
        <v>P92 Echo</v>
      </c>
      <c r="H24" t="str">
        <f>IFERROR(INDEX('Zápisník letů'!$B$2:$B$1018,MATCH($F24,'Zápisník letů'!$C$2:$C$1018,0)),"")</f>
        <v>ULL</v>
      </c>
      <c r="I24">
        <f>COUNTIF('Zápisník letů'!$C$2:$C$1018,$F24)</f>
        <v>38</v>
      </c>
      <c r="J24" s="1">
        <f>SUMIFS('Zápisník letů'!$L$2:$L$1018,'Zápisník letů'!$C$2:$C$1018,$F24)</f>
        <v>2.645138888888888</v>
      </c>
      <c r="K24" s="1">
        <f>SUMIFS('Zápisník letů'!$L$2:$L$1018,'Zápisník letů'!$C$2:$C$1018,$F24,'Zápisník letů'!$Q$2:$Q$1018,"PIC")</f>
        <v>2.6131944444444439</v>
      </c>
      <c r="L24" s="26">
        <f>SUMIFS('Zápisník letů'!$N$2:$N$1018,'Zápisník letů'!$C$2:$C$1018,$F24)</f>
        <v>101</v>
      </c>
      <c r="M24" s="28">
        <f>SUMIFS('Zápisník letů'!$T$2:$T$1018,'Zápisník letů'!$C$2:$C$1018,$F24)</f>
        <v>150455.5</v>
      </c>
    </row>
    <row r="25" spans="1:13">
      <c r="A25" t="s">
        <v>216</v>
      </c>
      <c r="B25">
        <f>COUNTIF('Zápisník letů'!$Q$2:$Q$1018,$A25)</f>
        <v>0</v>
      </c>
      <c r="C25" s="1">
        <f>SUMIFS('Zápisník letů'!$L$2:$L$1018,'Zápisník letů'!$Q$2:$Q$1018,$A25)</f>
        <v>0</v>
      </c>
      <c r="D25" s="28">
        <f>SUMIFS('Zápisník letů'!$T$2:$T$1018,'Zápisník letů'!$Q$2:$Q$1018,$A25)</f>
        <v>0</v>
      </c>
      <c r="F25" t="s">
        <v>152</v>
      </c>
      <c r="G25" t="str">
        <f>IFERROR(INDEX('Zápisník letů'!$D$2:$D$1018,MATCH($F25,'Zápisník letů'!$C$2:$C$1018,0)),"")</f>
        <v>B23T</v>
      </c>
      <c r="H25" t="str">
        <f>IFERROR(INDEX('Zápisník letů'!$B$2:$B$1018,MATCH($F25,'Zápisník letů'!$C$2:$C$1018,0)),"")</f>
        <v>EASA</v>
      </c>
      <c r="I25">
        <f>COUNTIF('Zápisník letů'!$C$2:$C$1018,$F25)</f>
        <v>5</v>
      </c>
      <c r="J25" s="1">
        <f>SUMIFS('Zápisník letů'!$L$2:$L$1018,'Zápisník letů'!$C$2:$C$1018,$F25)</f>
        <v>0.45000000000000007</v>
      </c>
      <c r="K25" s="1">
        <f>SUMIFS('Zápisník letů'!$L$2:$L$1018,'Zápisník letů'!$C$2:$C$1018,$F25,'Zápisník letů'!$Q$2:$Q$1018,"PIC")</f>
        <v>0</v>
      </c>
      <c r="L25" s="26">
        <f>SUMIFS('Zápisník letů'!$N$2:$N$1018,'Zápisník letů'!$C$2:$C$1018,$F25)</f>
        <v>5</v>
      </c>
      <c r="M25" s="28">
        <f>SUMIFS('Zápisník letů'!$T$2:$T$1018,'Zápisník letů'!$C$2:$C$1018,$F25)</f>
        <v>60480</v>
      </c>
    </row>
    <row r="26" spans="1:13">
      <c r="F26" t="s">
        <v>148</v>
      </c>
      <c r="G26" t="str">
        <f>IFERROR(INDEX('Zápisník letů'!$D$2:$D$1018,MATCH($F26,'Zápisník letů'!$C$2:$C$1018,0)),"")</f>
        <v>B23</v>
      </c>
      <c r="H26" t="str">
        <f>IFERROR(INDEX('Zápisník letů'!$B$2:$B$1018,MATCH($F26,'Zápisník letů'!$C$2:$C$1018,0)),"")</f>
        <v>EASA</v>
      </c>
      <c r="I26">
        <f>COUNTIF('Zápisník letů'!$C$2:$C$1018,$F26)</f>
        <v>2</v>
      </c>
      <c r="J26" s="1">
        <f>SUMIFS('Zápisník letů'!$L$2:$L$1018,'Zápisník letů'!$C$2:$C$1018,$F26)</f>
        <v>0.17222222222222217</v>
      </c>
      <c r="K26" s="1">
        <f>SUMIFS('Zápisník letů'!$L$2:$L$1018,'Zápisník letů'!$C$2:$C$1018,$F26,'Zápisník letů'!$Q$2:$Q$1018,"PIC")</f>
        <v>0</v>
      </c>
      <c r="L26" s="26">
        <f>SUMIFS('Zápisník letů'!$N$2:$N$1018,'Zápisník letů'!$C$2:$C$1018,$F26)</f>
        <v>2</v>
      </c>
      <c r="M26" s="28">
        <f>SUMIFS('Zápisník letů'!$T$2:$T$1018,'Zápisník letů'!$C$2:$C$1018,$F26)</f>
        <v>20666.669999999998</v>
      </c>
    </row>
    <row r="27" spans="1:13">
      <c r="F27" t="s">
        <v>103</v>
      </c>
      <c r="G27" t="str">
        <f>IFERROR(INDEX('Zápisník letů'!$D$2:$D$1018,MATCH($F27,'Zápisník letů'!$C$2:$C$1018,0)),"")</f>
        <v>Bristell</v>
      </c>
      <c r="H27" t="str">
        <f>IFERROR(INDEX('Zápisník letů'!$B$2:$B$1018,MATCH($F27,'Zápisník letů'!$C$2:$C$1018,0)),"")</f>
        <v>ULL</v>
      </c>
      <c r="I27">
        <f>COUNTIF('Zápisník letů'!$C$2:$C$1018,$F27)</f>
        <v>12</v>
      </c>
      <c r="J27" s="1">
        <f>SUMIFS('Zápisník letů'!$L$2:$L$1018,'Zápisník letů'!$C$2:$C$1018,$F27)</f>
        <v>0.77083333333333326</v>
      </c>
      <c r="K27" s="1">
        <f>SUMIFS('Zápisník letů'!$L$2:$L$1018,'Zápisník letů'!$C$2:$C$1018,$F27,'Zápisník letů'!$Q$2:$Q$1018,"PIC")</f>
        <v>0.77083333333333326</v>
      </c>
      <c r="L27" s="26">
        <f>SUMIFS('Zápisník letů'!$N$2:$N$1018,'Zápisník letů'!$C$2:$C$1018,$F27)</f>
        <v>24</v>
      </c>
      <c r="M27" s="28">
        <f>SUMIFS('Zápisník letů'!$T$2:$T$1018,'Zápisník letů'!$C$2:$C$1018,$F27)</f>
        <v>41625</v>
      </c>
    </row>
    <row r="28" spans="1:13">
      <c r="F28" t="s">
        <v>138</v>
      </c>
      <c r="G28" t="str">
        <f>IFERROR(INDEX('Zápisník letů'!$D$2:$D$1018,MATCH($F28,'Zápisník letů'!$C$2:$C$1018,0)),"")</f>
        <v>Bristell</v>
      </c>
      <c r="H28" t="str">
        <f>IFERROR(INDEX('Zápisník letů'!$B$2:$B$1018,MATCH($F28,'Zápisník letů'!$C$2:$C$1018,0)),"")</f>
        <v>ULL</v>
      </c>
      <c r="I28">
        <f>COUNTIF('Zápisník letů'!$C$2:$C$1018,$F28)</f>
        <v>5</v>
      </c>
      <c r="J28" s="1">
        <f>SUMIFS('Zápisník letů'!$L$2:$L$1018,'Zápisník letů'!$C$2:$C$1018,$F28)</f>
        <v>0.23124999999999984</v>
      </c>
      <c r="K28" s="1">
        <f>SUMIFS('Zápisník letů'!$L$2:$L$1018,'Zápisník letů'!$C$2:$C$1018,$F28,'Zápisník letů'!$Q$2:$Q$1018,"PIC")</f>
        <v>0</v>
      </c>
      <c r="L28" s="26">
        <f>SUMIFS('Zápisník letů'!$N$2:$N$1018,'Zápisník letů'!$C$2:$C$1018,$F28)</f>
        <v>5</v>
      </c>
      <c r="M28" s="28">
        <f>SUMIFS('Zápisník letů'!$T$2:$T$1018,'Zápisník letů'!$C$2:$C$1018,$F28)</f>
        <v>22200</v>
      </c>
    </row>
    <row r="29" spans="1:13">
      <c r="F29" t="s">
        <v>124</v>
      </c>
      <c r="G29" t="str">
        <f>IFERROR(INDEX('Zápisník letů'!$D$2:$D$1018,MATCH($F29,'Zápisník letů'!$C$2:$C$1018,0)),"")</f>
        <v>Bristell</v>
      </c>
      <c r="H29" t="str">
        <f>IFERROR(INDEX('Zápisník letů'!$B$2:$B$1018,MATCH($F29,'Zápisník letů'!$C$2:$C$1018,0)),"")</f>
        <v>ULL</v>
      </c>
      <c r="I29">
        <f>COUNTIF('Zápisník letů'!$C$2:$C$1018,$F29)</f>
        <v>11</v>
      </c>
      <c r="J29" s="1">
        <f>SUMIFS('Zápisník letů'!$L$2:$L$1018,'Zápisník letů'!$C$2:$C$1018,$F29)</f>
        <v>0.6430555555555556</v>
      </c>
      <c r="K29" s="1">
        <f>SUMIFS('Zápisník letů'!$L$2:$L$1018,'Zápisník letů'!$C$2:$C$1018,$F29,'Zápisník letů'!$Q$2:$Q$1018,"PIC")</f>
        <v>0.62777777777777788</v>
      </c>
      <c r="L29" s="26">
        <f>SUMIFS('Zápisník letů'!$N$2:$N$1018,'Zápisník letů'!$C$2:$C$1018,$F29)</f>
        <v>25</v>
      </c>
      <c r="M29" s="28">
        <f>SUMIFS('Zápisník letů'!$T$2:$T$1018,'Zápisník letů'!$C$2:$C$1018,$F29)</f>
        <v>34725</v>
      </c>
    </row>
    <row r="30" spans="1:13">
      <c r="F30" t="s">
        <v>156</v>
      </c>
      <c r="G30" t="str">
        <f>IFERROR(INDEX('Zápisník letů'!$D$2:$D$1018,MATCH($F30,'Zápisník letů'!$C$2:$C$1018,0)),"")</f>
        <v>Bristell</v>
      </c>
      <c r="H30" t="str">
        <f>IFERROR(INDEX('Zápisník letů'!$B$2:$B$1018,MATCH($F30,'Zápisník letů'!$C$2:$C$1018,0)),"")</f>
        <v>ULL</v>
      </c>
      <c r="I30">
        <f>COUNTIF('Zápisník letů'!$C$2:$C$1018,$F30)</f>
        <v>3</v>
      </c>
      <c r="J30" s="1">
        <f>SUMIFS('Zápisník letů'!$L$2:$L$1018,'Zápisník letů'!$C$2:$C$1018,$F30)</f>
        <v>0.13055555555555554</v>
      </c>
      <c r="K30" s="1">
        <f>SUMIFS('Zápisník letů'!$L$2:$L$1018,'Zápisník letů'!$C$2:$C$1018,$F30,'Zápisník letů'!$Q$2:$Q$1018,"PIC")</f>
        <v>0</v>
      </c>
      <c r="L30" s="26">
        <f>SUMIFS('Zápisník letů'!$N$2:$N$1018,'Zápisník letů'!$C$2:$C$1018,$F30)</f>
        <v>3</v>
      </c>
      <c r="M30" s="28">
        <f>SUMIFS('Zápisník letů'!$T$2:$T$1018,'Zápisník letů'!$C$2:$C$1018,$F30)</f>
        <v>12533.34</v>
      </c>
    </row>
    <row r="31" spans="1:13">
      <c r="F31" t="s">
        <v>49</v>
      </c>
      <c r="G31" t="str">
        <f>IFERROR(INDEX('Zápisník letů'!$D$2:$D$1018,MATCH($F31,'Zápisník letů'!$C$2:$C$1018,0)),"")</f>
        <v>P208</v>
      </c>
      <c r="H31" t="str">
        <f>IFERROR(INDEX('Zápisník letů'!$B$2:$B$1018,MATCH($F31,'Zápisník letů'!$C$2:$C$1018,0)),"")</f>
        <v>EASA</v>
      </c>
      <c r="I31">
        <f>COUNTIF('Zápisník letů'!$C$2:$C$1018,$F31)</f>
        <v>13</v>
      </c>
      <c r="J31" s="1">
        <f>SUMIFS('Zápisník letů'!$L$2:$L$1018,'Zápisník letů'!$C$2:$C$1018,$F31)</f>
        <v>0.57500000000000007</v>
      </c>
      <c r="K31" s="1">
        <f>SUMIFS('Zápisník letů'!$L$2:$L$1018,'Zápisník letů'!$C$2:$C$1018,$F31,'Zápisník letů'!$Q$2:$Q$1018,"PIC")</f>
        <v>0.12847222222222221</v>
      </c>
      <c r="L31" s="26">
        <f>SUMIFS('Zápisník letů'!$N$2:$N$1018,'Zápisník letů'!$C$2:$C$1018,$F31)</f>
        <v>48</v>
      </c>
      <c r="M31" s="28">
        <f>SUMIFS('Zápisník letů'!$T$2:$T$1018,'Zápisník letů'!$C$2:$C$1018,$F31)</f>
        <v>42228</v>
      </c>
    </row>
    <row r="32" spans="1:13">
      <c r="F32" t="s">
        <v>70</v>
      </c>
      <c r="G32" t="str">
        <f>IFERROR(INDEX('Zápisník letů'!$D$2:$D$1018,MATCH($F32,'Zápisník letů'!$C$2:$C$1018,0)),"")</f>
        <v>Bristell</v>
      </c>
      <c r="H32" t="str">
        <f>IFERROR(INDEX('Zápisník letů'!$B$2:$B$1018,MATCH($F32,'Zápisník letů'!$C$2:$C$1018,0)),"")</f>
        <v>ULL</v>
      </c>
      <c r="I32">
        <f>COUNTIF('Zápisník letů'!$C$2:$C$1018,$F32)</f>
        <v>24</v>
      </c>
      <c r="J32" s="1">
        <f>SUMIFS('Zápisník letů'!$L$2:$L$1018,'Zápisník letů'!$C$2:$C$1018,$F32)</f>
        <v>1.7236111111111108</v>
      </c>
      <c r="K32" s="1">
        <f>SUMIFS('Zápisník letů'!$L$2:$L$1018,'Zápisník letů'!$C$2:$C$1018,$F32,'Zápisník letů'!$Q$2:$Q$1018,"PIC")</f>
        <v>1.6749999999999996</v>
      </c>
      <c r="L32" s="26">
        <f>SUMIFS('Zápisník letů'!$N$2:$N$1018,'Zápisník letů'!$C$2:$C$1018,$F32)</f>
        <v>76</v>
      </c>
      <c r="M32" s="28">
        <f>SUMIFS('Zápisník letů'!$T$2:$T$1018,'Zápisník letů'!$C$2:$C$1018,$F32)</f>
        <v>93075</v>
      </c>
    </row>
    <row r="33" spans="6:13">
      <c r="F33" t="s">
        <v>104</v>
      </c>
      <c r="G33" t="str">
        <f>IFERROR(INDEX('Zápisník letů'!$D$2:$D$1018,MATCH($F33,'Zápisník letů'!$C$2:$C$1018,0)),"")</f>
        <v>WT9</v>
      </c>
      <c r="H33" t="str">
        <f>IFERROR(INDEX('Zápisník letů'!$B$2:$B$1018,MATCH($F33,'Zápisník letů'!$C$2:$C$1018,0)),"")</f>
        <v>ULL</v>
      </c>
      <c r="I33">
        <f>COUNTIF('Zápisník letů'!$C$2:$C$1018,$F33)</f>
        <v>1</v>
      </c>
      <c r="J33" s="1">
        <f>SUMIFS('Zápisník letů'!$L$2:$L$1018,'Zápisník letů'!$C$2:$C$1018,$F33)</f>
        <v>8.4722222222222254E-2</v>
      </c>
      <c r="K33" s="1">
        <f>SUMIFS('Zápisník letů'!$L$2:$L$1018,'Zápisník letů'!$C$2:$C$1018,$F33,'Zápisník letů'!$Q$2:$Q$1018,"PIC")</f>
        <v>0</v>
      </c>
      <c r="L33" s="26">
        <f>SUMIFS('Zápisník letů'!$N$2:$N$1018,'Zápisník letů'!$C$2:$C$1018,$F33)</f>
        <v>1</v>
      </c>
      <c r="M33" s="28">
        <f>SUMIFS('Zápisník letů'!$T$2:$T$1018,'Zápisník letů'!$C$2:$C$1018,$F33)</f>
        <v>7116.67</v>
      </c>
    </row>
    <row r="34" spans="6:13">
      <c r="F34" t="s">
        <v>23</v>
      </c>
      <c r="G34" t="str">
        <f>IFERROR(INDEX('Zápisník letů'!$D$2:$D$1018,MATCH($F34,'Zápisník letů'!$C$2:$C$1018,0)),"")</f>
        <v>Bristell</v>
      </c>
      <c r="H34" t="str">
        <f>IFERROR(INDEX('Zápisník letů'!$B$2:$B$1018,MATCH($F34,'Zápisník letů'!$C$2:$C$1018,0)),"")</f>
        <v>ULL</v>
      </c>
      <c r="I34">
        <f>COUNTIF('Zápisník letů'!$C$2:$C$1018,$F34)</f>
        <v>57</v>
      </c>
      <c r="J34" s="1">
        <f>SUMIFS('Zápisník letů'!$L$2:$L$1018,'Zápisník letů'!$C$2:$C$1018,$F34)</f>
        <v>2.7826388888888882</v>
      </c>
      <c r="K34" s="1">
        <f>SUMIFS('Zápisník letů'!$L$2:$L$1018,'Zápisník letů'!$C$2:$C$1018,$F34,'Zápisník letů'!$Q$2:$Q$1018,"PIC")</f>
        <v>2.5381944444444438</v>
      </c>
      <c r="L34" s="26">
        <f>SUMIFS('Zápisník letů'!$N$2:$N$1018,'Zápisník letů'!$C$2:$C$1018,$F34)</f>
        <v>183</v>
      </c>
      <c r="M34" s="28">
        <f>SUMIFS('Zápisník letů'!$T$2:$T$1018,'Zápisník letů'!$C$2:$C$1018,$F34)</f>
        <v>124217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/>
  </sheetViews>
  <sheetFormatPr defaultRowHeight="14.25"/>
  <cols>
    <col min="1" max="1" width="12.5" customWidth="1"/>
    <col min="2" max="2" width="7.875" customWidth="1"/>
    <col min="3" max="3" width="9.125" customWidth="1"/>
    <col min="4" max="4" width="10.75" customWidth="1"/>
    <col min="5" max="5" width="17.125" customWidth="1"/>
    <col min="6" max="6" width="25.875" customWidth="1"/>
  </cols>
  <sheetData>
    <row r="1" spans="1:6" ht="15">
      <c r="A1" s="9" t="s">
        <v>2</v>
      </c>
      <c r="B1" s="9" t="s">
        <v>3</v>
      </c>
      <c r="C1" s="9" t="s">
        <v>158</v>
      </c>
      <c r="D1" s="30" t="s">
        <v>18</v>
      </c>
      <c r="E1" s="30" t="s">
        <v>159</v>
      </c>
      <c r="F1" s="9" t="s">
        <v>160</v>
      </c>
    </row>
    <row r="2" spans="1:6">
      <c r="A2" t="s">
        <v>161</v>
      </c>
      <c r="B2" t="s">
        <v>162</v>
      </c>
      <c r="C2" t="s">
        <v>163</v>
      </c>
      <c r="D2" s="28">
        <v>450</v>
      </c>
      <c r="E2" s="28">
        <v>0</v>
      </c>
      <c r="F2" t="s">
        <v>164</v>
      </c>
    </row>
    <row r="3" spans="1:6">
      <c r="A3" t="s">
        <v>165</v>
      </c>
      <c r="B3" t="s">
        <v>166</v>
      </c>
      <c r="C3" t="s">
        <v>167</v>
      </c>
      <c r="D3" s="28">
        <v>320</v>
      </c>
      <c r="E3" s="28">
        <v>0</v>
      </c>
      <c r="F3" t="s">
        <v>164</v>
      </c>
    </row>
    <row r="4" spans="1:6">
      <c r="A4" t="s">
        <v>168</v>
      </c>
      <c r="B4" t="s">
        <v>169</v>
      </c>
      <c r="C4" t="s">
        <v>167</v>
      </c>
      <c r="D4" s="28">
        <v>290</v>
      </c>
      <c r="E4" s="28">
        <v>0</v>
      </c>
      <c r="F4" t="s">
        <v>164</v>
      </c>
    </row>
    <row r="5" spans="1:6">
      <c r="A5" t="s">
        <v>170</v>
      </c>
      <c r="B5" t="s">
        <v>169</v>
      </c>
      <c r="C5" t="s">
        <v>167</v>
      </c>
      <c r="D5" s="28">
        <v>290</v>
      </c>
      <c r="E5" s="28">
        <v>0</v>
      </c>
      <c r="F5" t="s">
        <v>164</v>
      </c>
    </row>
    <row r="6" spans="1:6">
      <c r="A6" t="s">
        <v>171</v>
      </c>
      <c r="B6" t="s">
        <v>172</v>
      </c>
      <c r="C6" t="s">
        <v>173</v>
      </c>
      <c r="D6" s="28">
        <v>2080</v>
      </c>
      <c r="E6" s="28">
        <v>0</v>
      </c>
      <c r="F6" t="s">
        <v>164</v>
      </c>
    </row>
    <row r="7" spans="1:6">
      <c r="A7" t="s">
        <v>174</v>
      </c>
      <c r="B7" t="s">
        <v>175</v>
      </c>
      <c r="C7" t="s">
        <v>167</v>
      </c>
      <c r="D7" s="28">
        <v>450</v>
      </c>
      <c r="E7" s="28">
        <v>0</v>
      </c>
      <c r="F7" t="s">
        <v>164</v>
      </c>
    </row>
    <row r="8" spans="1:6">
      <c r="A8" t="s">
        <v>176</v>
      </c>
      <c r="B8" t="s">
        <v>177</v>
      </c>
      <c r="C8" t="s">
        <v>167</v>
      </c>
      <c r="D8" s="28">
        <v>260</v>
      </c>
      <c r="E8" s="28">
        <v>0</v>
      </c>
      <c r="F8" t="s">
        <v>164</v>
      </c>
    </row>
    <row r="9" spans="1:6">
      <c r="A9" t="s">
        <v>95</v>
      </c>
      <c r="B9" t="s">
        <v>50</v>
      </c>
      <c r="C9" t="s">
        <v>167</v>
      </c>
      <c r="D9" s="28">
        <v>3060</v>
      </c>
      <c r="E9" s="28">
        <v>2280</v>
      </c>
      <c r="F9" t="s">
        <v>164</v>
      </c>
    </row>
    <row r="10" spans="1:6">
      <c r="A10" t="s">
        <v>145</v>
      </c>
      <c r="B10" t="s">
        <v>146</v>
      </c>
      <c r="C10" t="s">
        <v>178</v>
      </c>
      <c r="D10" s="28">
        <v>3060</v>
      </c>
      <c r="E10" s="28">
        <v>0</v>
      </c>
      <c r="F10" t="s">
        <v>179</v>
      </c>
    </row>
    <row r="11" spans="1:6">
      <c r="A11" t="s">
        <v>55</v>
      </c>
      <c r="B11" t="s">
        <v>50</v>
      </c>
      <c r="C11" t="s">
        <v>180</v>
      </c>
      <c r="D11" s="28">
        <v>2700</v>
      </c>
      <c r="E11" s="28">
        <v>0</v>
      </c>
      <c r="F11" t="s">
        <v>179</v>
      </c>
    </row>
    <row r="12" spans="1:6">
      <c r="A12" t="s">
        <v>181</v>
      </c>
      <c r="B12" t="s">
        <v>24</v>
      </c>
      <c r="C12" t="s">
        <v>167</v>
      </c>
      <c r="D12" s="28">
        <v>3060</v>
      </c>
      <c r="E12" s="28">
        <v>2280</v>
      </c>
      <c r="F12" t="s">
        <v>164</v>
      </c>
    </row>
    <row r="13" spans="1:6">
      <c r="A13" t="s">
        <v>150</v>
      </c>
      <c r="B13" t="s">
        <v>24</v>
      </c>
      <c r="C13" t="s">
        <v>182</v>
      </c>
      <c r="D13" s="28">
        <v>3060</v>
      </c>
      <c r="E13" s="28">
        <v>2280</v>
      </c>
      <c r="F13" t="s">
        <v>164</v>
      </c>
    </row>
    <row r="14" spans="1:6">
      <c r="A14" t="s">
        <v>183</v>
      </c>
      <c r="B14" t="s">
        <v>24</v>
      </c>
      <c r="C14" t="s">
        <v>184</v>
      </c>
      <c r="D14" s="28">
        <v>3060</v>
      </c>
      <c r="E14" s="28">
        <v>2280</v>
      </c>
      <c r="F14" t="s">
        <v>164</v>
      </c>
    </row>
    <row r="15" spans="1:6">
      <c r="A15" t="s">
        <v>79</v>
      </c>
      <c r="B15" t="s">
        <v>80</v>
      </c>
      <c r="C15" t="s">
        <v>185</v>
      </c>
      <c r="D15" s="28">
        <v>2150</v>
      </c>
      <c r="E15" s="28">
        <v>0</v>
      </c>
      <c r="F15" t="s">
        <v>179</v>
      </c>
    </row>
    <row r="16" spans="1:6">
      <c r="A16" t="s">
        <v>82</v>
      </c>
      <c r="B16" t="s">
        <v>80</v>
      </c>
      <c r="C16" t="s">
        <v>186</v>
      </c>
      <c r="D16" s="28">
        <v>2370</v>
      </c>
      <c r="E16" s="28">
        <v>1730</v>
      </c>
      <c r="F16" t="s">
        <v>164</v>
      </c>
    </row>
    <row r="17" spans="1:6">
      <c r="A17" t="s">
        <v>187</v>
      </c>
      <c r="B17" t="s">
        <v>188</v>
      </c>
      <c r="C17" t="s">
        <v>167</v>
      </c>
      <c r="D17" s="28">
        <v>4420</v>
      </c>
      <c r="E17" s="28">
        <v>2820</v>
      </c>
      <c r="F17" t="s">
        <v>164</v>
      </c>
    </row>
    <row r="18" spans="1:6">
      <c r="A18" t="s">
        <v>103</v>
      </c>
      <c r="B18" t="s">
        <v>24</v>
      </c>
      <c r="C18" t="s">
        <v>186</v>
      </c>
      <c r="D18" s="28">
        <v>2250</v>
      </c>
      <c r="E18" s="28">
        <v>1610</v>
      </c>
      <c r="F18" t="s">
        <v>164</v>
      </c>
    </row>
    <row r="19" spans="1:6">
      <c r="A19" t="s">
        <v>124</v>
      </c>
      <c r="B19" t="s">
        <v>24</v>
      </c>
      <c r="C19" t="s">
        <v>189</v>
      </c>
      <c r="D19" s="28">
        <v>2250</v>
      </c>
      <c r="E19" s="28">
        <v>1610</v>
      </c>
      <c r="F19" t="s">
        <v>164</v>
      </c>
    </row>
    <row r="20" spans="1:6">
      <c r="A20" t="s">
        <v>49</v>
      </c>
      <c r="B20" t="s">
        <v>50</v>
      </c>
      <c r="C20" t="s">
        <v>167</v>
      </c>
      <c r="D20" s="28">
        <v>3060</v>
      </c>
      <c r="E20" s="28">
        <v>2280</v>
      </c>
      <c r="F20" t="s">
        <v>164</v>
      </c>
    </row>
    <row r="21" spans="1:6">
      <c r="A21" t="s">
        <v>190</v>
      </c>
      <c r="B21" t="s">
        <v>191</v>
      </c>
      <c r="C21" t="s">
        <v>192</v>
      </c>
      <c r="D21" s="28">
        <v>3820</v>
      </c>
      <c r="E21" s="28">
        <v>2380</v>
      </c>
      <c r="F21" t="s">
        <v>164</v>
      </c>
    </row>
    <row r="22" spans="1:6">
      <c r="A22" t="s">
        <v>193</v>
      </c>
      <c r="B22" t="s">
        <v>194</v>
      </c>
      <c r="C22" t="s">
        <v>167</v>
      </c>
      <c r="D22" s="28">
        <v>2080</v>
      </c>
      <c r="E22" s="28">
        <v>1480</v>
      </c>
      <c r="F22" t="s">
        <v>164</v>
      </c>
    </row>
    <row r="23" spans="1:6">
      <c r="A23" t="s">
        <v>70</v>
      </c>
      <c r="B23" t="s">
        <v>24</v>
      </c>
      <c r="C23" t="s">
        <v>186</v>
      </c>
      <c r="D23" s="28">
        <v>2250</v>
      </c>
      <c r="E23" s="28">
        <v>1610</v>
      </c>
      <c r="F23" t="s">
        <v>164</v>
      </c>
    </row>
    <row r="24" spans="1:6">
      <c r="A24" t="s">
        <v>23</v>
      </c>
      <c r="B24" t="s">
        <v>24</v>
      </c>
      <c r="C24" t="s">
        <v>195</v>
      </c>
      <c r="D24" s="28">
        <v>1860</v>
      </c>
      <c r="E24" s="28">
        <v>0</v>
      </c>
      <c r="F24" t="s">
        <v>179</v>
      </c>
    </row>
    <row r="25" spans="1:6">
      <c r="A25" t="s">
        <v>104</v>
      </c>
      <c r="B25" t="s">
        <v>194</v>
      </c>
      <c r="C25">
        <v>2026</v>
      </c>
      <c r="D25" s="28">
        <v>3500</v>
      </c>
      <c r="E25" s="28">
        <v>0</v>
      </c>
    </row>
    <row r="26" spans="1:6">
      <c r="A26" t="s">
        <v>138</v>
      </c>
      <c r="B26" t="s">
        <v>24</v>
      </c>
      <c r="C26">
        <v>2026</v>
      </c>
      <c r="D26" s="28">
        <v>4000</v>
      </c>
      <c r="E26" s="28"/>
    </row>
    <row r="27" spans="1:6">
      <c r="A27" t="s">
        <v>148</v>
      </c>
      <c r="B27" t="s">
        <v>146</v>
      </c>
      <c r="C27">
        <v>2026</v>
      </c>
      <c r="D27" s="28">
        <v>5000</v>
      </c>
      <c r="E27" s="28"/>
    </row>
    <row r="28" spans="1:6">
      <c r="A28" t="s">
        <v>152</v>
      </c>
      <c r="B28" t="s">
        <v>153</v>
      </c>
      <c r="C28">
        <v>2026</v>
      </c>
      <c r="D28" s="28">
        <v>5600</v>
      </c>
      <c r="E28" s="28"/>
    </row>
    <row r="29" spans="1:6">
      <c r="A29" t="s">
        <v>156</v>
      </c>
      <c r="B29" t="s">
        <v>24</v>
      </c>
      <c r="C29">
        <v>2026</v>
      </c>
      <c r="D29" s="28">
        <v>4000</v>
      </c>
      <c r="E29" s="28"/>
    </row>
    <row r="30" spans="1:6">
      <c r="D30" s="28"/>
      <c r="E30" s="28"/>
    </row>
    <row r="31" spans="1:6">
      <c r="D31" s="28"/>
      <c r="E31" s="28"/>
    </row>
    <row r="32" spans="1:6">
      <c r="D32" s="28"/>
      <c r="E32" s="28"/>
    </row>
    <row r="33" spans="4:5">
      <c r="D33" s="28"/>
      <c r="E33" s="28"/>
    </row>
    <row r="34" spans="4:5">
      <c r="D34" s="28"/>
      <c r="E34" s="28"/>
    </row>
    <row r="35" spans="4:5">
      <c r="D35" s="28"/>
      <c r="E35" s="28"/>
    </row>
    <row r="36" spans="4:5">
      <c r="D36" s="28"/>
      <c r="E36" s="28"/>
    </row>
    <row r="37" spans="4:5">
      <c r="D37" s="28"/>
      <c r="E37" s="28"/>
    </row>
    <row r="38" spans="4:5">
      <c r="D38" s="28"/>
      <c r="E38" s="28"/>
    </row>
    <row r="39" spans="4:5">
      <c r="D39" s="28"/>
      <c r="E39" s="28"/>
    </row>
    <row r="40" spans="4:5">
      <c r="D40" s="28"/>
      <c r="E40" s="28"/>
    </row>
    <row r="41" spans="4:5">
      <c r="D41" s="28"/>
      <c r="E41" s="28"/>
    </row>
    <row r="42" spans="4:5">
      <c r="D42" s="28"/>
      <c r="E42" s="28"/>
    </row>
    <row r="43" spans="4:5">
      <c r="D43" s="28"/>
      <c r="E43" s="28"/>
    </row>
    <row r="44" spans="4:5">
      <c r="D44" s="28"/>
      <c r="E44" s="28"/>
    </row>
    <row r="45" spans="4:5">
      <c r="D45" s="28"/>
      <c r="E45" s="28"/>
    </row>
    <row r="46" spans="4:5">
      <c r="D46" s="28"/>
      <c r="E46" s="28"/>
    </row>
    <row r="47" spans="4:5">
      <c r="D47" s="28"/>
      <c r="E47" s="28"/>
    </row>
    <row r="48" spans="4:5">
      <c r="D48" s="28"/>
      <c r="E48" s="28"/>
    </row>
    <row r="49" spans="4:5">
      <c r="D49" s="28"/>
      <c r="E49" s="28"/>
    </row>
    <row r="50" spans="4:5">
      <c r="D50" s="28"/>
      <c r="E50" s="28"/>
    </row>
    <row r="51" spans="4:5">
      <c r="D51" s="28"/>
      <c r="E51" s="28"/>
    </row>
    <row r="52" spans="4:5">
      <c r="D52" s="28"/>
      <c r="E52" s="28"/>
    </row>
    <row r="53" spans="4:5">
      <c r="D53" s="28"/>
      <c r="E53" s="28"/>
    </row>
    <row r="54" spans="4:5">
      <c r="D54" s="28"/>
      <c r="E54" s="28"/>
    </row>
    <row r="55" spans="4:5">
      <c r="D55" s="28"/>
      <c r="E55" s="28"/>
    </row>
    <row r="56" spans="4:5">
      <c r="D56" s="28"/>
      <c r="E56" s="28"/>
    </row>
    <row r="57" spans="4:5">
      <c r="D57" s="28"/>
      <c r="E57" s="28"/>
    </row>
    <row r="58" spans="4:5">
      <c r="D58" s="28"/>
      <c r="E58" s="28"/>
    </row>
    <row r="59" spans="4:5">
      <c r="D59" s="28"/>
      <c r="E59" s="28"/>
    </row>
    <row r="60" spans="4:5">
      <c r="D60" s="28"/>
      <c r="E60" s="28"/>
    </row>
    <row r="61" spans="4:5">
      <c r="D61" s="28"/>
      <c r="E61" s="28"/>
    </row>
    <row r="62" spans="4:5">
      <c r="D62" s="28"/>
      <c r="E62" s="28"/>
    </row>
    <row r="63" spans="4:5">
      <c r="D63" s="28"/>
      <c r="E63" s="28"/>
    </row>
    <row r="64" spans="4:5">
      <c r="D64" s="28"/>
      <c r="E64" s="28"/>
    </row>
    <row r="65" spans="4:5">
      <c r="D65" s="28"/>
      <c r="E65" s="28"/>
    </row>
    <row r="66" spans="4:5">
      <c r="D66" s="28"/>
      <c r="E66" s="28"/>
    </row>
    <row r="67" spans="4:5">
      <c r="D67" s="28"/>
      <c r="E67" s="28"/>
    </row>
    <row r="68" spans="4:5">
      <c r="D68" s="28"/>
      <c r="E68" s="28"/>
    </row>
    <row r="69" spans="4:5">
      <c r="D69" s="28"/>
      <c r="E69" s="28"/>
    </row>
    <row r="70" spans="4:5">
      <c r="D70" s="28"/>
      <c r="E70" s="28"/>
    </row>
    <row r="71" spans="4:5">
      <c r="D71" s="28"/>
      <c r="E71" s="28"/>
    </row>
    <row r="72" spans="4:5">
      <c r="D72" s="28"/>
      <c r="E72" s="28"/>
    </row>
    <row r="73" spans="4:5">
      <c r="D73" s="28"/>
      <c r="E73" s="28"/>
    </row>
    <row r="74" spans="4:5">
      <c r="D74" s="28"/>
      <c r="E74" s="28"/>
    </row>
    <row r="75" spans="4:5">
      <c r="D75" s="28"/>
      <c r="E75" s="28"/>
    </row>
    <row r="76" spans="4:5">
      <c r="D76" s="28"/>
      <c r="E76" s="28"/>
    </row>
    <row r="77" spans="4:5">
      <c r="D77" s="28"/>
      <c r="E77" s="28"/>
    </row>
    <row r="78" spans="4:5">
      <c r="D78" s="28"/>
      <c r="E78" s="28"/>
    </row>
    <row r="79" spans="4:5">
      <c r="D79" s="28"/>
      <c r="E79" s="28"/>
    </row>
    <row r="80" spans="4:5">
      <c r="D80" s="28"/>
      <c r="E80" s="28"/>
    </row>
    <row r="81" spans="4:5">
      <c r="D81" s="28"/>
      <c r="E81" s="28"/>
    </row>
    <row r="82" spans="4:5">
      <c r="D82" s="28"/>
      <c r="E82" s="28"/>
    </row>
    <row r="83" spans="4:5">
      <c r="D83" s="28"/>
      <c r="E83" s="28"/>
    </row>
    <row r="84" spans="4:5">
      <c r="D84" s="28"/>
      <c r="E84" s="28"/>
    </row>
    <row r="85" spans="4:5">
      <c r="D85" s="28"/>
      <c r="E85" s="28"/>
    </row>
    <row r="86" spans="4:5">
      <c r="D86" s="28"/>
      <c r="E86" s="28"/>
    </row>
    <row r="87" spans="4:5">
      <c r="D87" s="28"/>
      <c r="E87" s="28"/>
    </row>
    <row r="88" spans="4:5">
      <c r="D88" s="28"/>
      <c r="E88" s="28"/>
    </row>
    <row r="89" spans="4:5">
      <c r="D89" s="28"/>
      <c r="E89" s="28"/>
    </row>
    <row r="90" spans="4:5">
      <c r="D90" s="28"/>
      <c r="E90" s="28"/>
    </row>
    <row r="91" spans="4:5">
      <c r="D91" s="28"/>
      <c r="E91" s="28"/>
    </row>
    <row r="92" spans="4:5">
      <c r="D92" s="28"/>
      <c r="E92" s="28"/>
    </row>
    <row r="93" spans="4:5">
      <c r="D93" s="28"/>
      <c r="E93" s="28"/>
    </row>
    <row r="94" spans="4:5">
      <c r="D94" s="28"/>
      <c r="E94" s="28"/>
    </row>
    <row r="95" spans="4:5">
      <c r="D95" s="28"/>
      <c r="E95" s="28"/>
    </row>
    <row r="96" spans="4:5">
      <c r="D96" s="28"/>
      <c r="E96" s="28"/>
    </row>
    <row r="97" spans="4:5">
      <c r="D97" s="28"/>
      <c r="E97" s="28"/>
    </row>
    <row r="98" spans="4:5">
      <c r="D98" s="28"/>
      <c r="E98" s="28"/>
    </row>
    <row r="99" spans="4:5">
      <c r="D99" s="28"/>
      <c r="E99" s="28"/>
    </row>
    <row r="100" spans="4:5">
      <c r="D100" s="28"/>
      <c r="E100" s="28"/>
    </row>
    <row r="101" spans="4:5">
      <c r="D101" s="28"/>
      <c r="E101" s="28"/>
    </row>
    <row r="102" spans="4:5">
      <c r="D102" s="28"/>
      <c r="E102" s="28"/>
    </row>
    <row r="103" spans="4:5">
      <c r="D103" s="28"/>
      <c r="E103" s="28"/>
    </row>
    <row r="104" spans="4:5">
      <c r="D104" s="28"/>
      <c r="E104" s="28"/>
    </row>
    <row r="105" spans="4:5">
      <c r="D105" s="28"/>
      <c r="E105" s="28"/>
    </row>
    <row r="106" spans="4:5">
      <c r="D106" s="28"/>
      <c r="E106" s="28"/>
    </row>
    <row r="107" spans="4:5">
      <c r="D107" s="28"/>
      <c r="E107" s="28"/>
    </row>
    <row r="108" spans="4:5">
      <c r="D108" s="28"/>
      <c r="E108" s="28"/>
    </row>
    <row r="109" spans="4:5">
      <c r="D109" s="28"/>
      <c r="E109" s="28"/>
    </row>
    <row r="110" spans="4:5">
      <c r="D110" s="28"/>
      <c r="E110" s="28"/>
    </row>
    <row r="111" spans="4:5">
      <c r="D111" s="28"/>
      <c r="E111" s="28"/>
    </row>
    <row r="112" spans="4:5">
      <c r="D112" s="28"/>
      <c r="E112" s="28"/>
    </row>
    <row r="113" spans="4:5">
      <c r="D113" s="28"/>
      <c r="E113" s="28"/>
    </row>
    <row r="114" spans="4:5">
      <c r="D114" s="28"/>
      <c r="E114" s="28"/>
    </row>
    <row r="115" spans="4:5">
      <c r="D115" s="28"/>
      <c r="E115" s="28"/>
    </row>
    <row r="116" spans="4:5">
      <c r="D116" s="28"/>
      <c r="E116" s="28"/>
    </row>
    <row r="117" spans="4:5">
      <c r="D117" s="28"/>
      <c r="E117" s="28"/>
    </row>
    <row r="118" spans="4:5">
      <c r="D118" s="28"/>
      <c r="E118" s="28"/>
    </row>
    <row r="119" spans="4:5">
      <c r="D119" s="28"/>
      <c r="E119" s="28"/>
    </row>
    <row r="120" spans="4:5">
      <c r="D120" s="28"/>
      <c r="E120" s="28"/>
    </row>
    <row r="121" spans="4:5">
      <c r="D121" s="28"/>
      <c r="E121" s="28"/>
    </row>
    <row r="122" spans="4:5">
      <c r="D122" s="28"/>
      <c r="E122" s="28"/>
    </row>
    <row r="123" spans="4:5">
      <c r="D123" s="28"/>
      <c r="E123" s="28"/>
    </row>
    <row r="124" spans="4:5">
      <c r="D124" s="28"/>
      <c r="E124" s="28"/>
    </row>
    <row r="125" spans="4:5">
      <c r="D125" s="28"/>
      <c r="E125" s="28"/>
    </row>
    <row r="126" spans="4:5">
      <c r="D126" s="28"/>
      <c r="E126" s="28"/>
    </row>
    <row r="127" spans="4:5">
      <c r="D127" s="28"/>
      <c r="E127" s="28"/>
    </row>
    <row r="128" spans="4:5">
      <c r="D128" s="28"/>
      <c r="E128" s="28"/>
    </row>
    <row r="129" spans="4:5">
      <c r="D129" s="28"/>
      <c r="E129" s="28"/>
    </row>
    <row r="130" spans="4:5">
      <c r="D130" s="28"/>
      <c r="E130" s="28"/>
    </row>
    <row r="131" spans="4:5">
      <c r="D131" s="28"/>
      <c r="E131" s="28"/>
    </row>
    <row r="132" spans="4:5">
      <c r="D132" s="28"/>
      <c r="E132" s="28"/>
    </row>
    <row r="133" spans="4:5">
      <c r="D133" s="28"/>
      <c r="E133" s="28"/>
    </row>
    <row r="134" spans="4:5">
      <c r="D134" s="28"/>
      <c r="E134" s="28"/>
    </row>
    <row r="135" spans="4:5">
      <c r="D135" s="28"/>
      <c r="E135" s="28"/>
    </row>
    <row r="136" spans="4:5">
      <c r="D136" s="28"/>
      <c r="E136" s="28"/>
    </row>
    <row r="137" spans="4:5">
      <c r="D137" s="28"/>
      <c r="E137" s="28"/>
    </row>
    <row r="138" spans="4:5">
      <c r="D138" s="28"/>
      <c r="E138" s="28"/>
    </row>
    <row r="139" spans="4:5">
      <c r="D139" s="28"/>
      <c r="E139" s="28"/>
    </row>
    <row r="140" spans="4:5">
      <c r="D140" s="28"/>
      <c r="E140" s="28"/>
    </row>
    <row r="141" spans="4:5">
      <c r="D141" s="28"/>
      <c r="E141" s="28"/>
    </row>
    <row r="142" spans="4:5">
      <c r="D142" s="28"/>
      <c r="E142" s="28"/>
    </row>
    <row r="143" spans="4:5">
      <c r="D143" s="28"/>
      <c r="E143" s="28"/>
    </row>
    <row r="144" spans="4:5">
      <c r="D144" s="28"/>
      <c r="E144" s="28"/>
    </row>
    <row r="145" spans="4:5">
      <c r="D145" s="28"/>
      <c r="E145" s="28"/>
    </row>
    <row r="146" spans="4:5">
      <c r="D146" s="28"/>
      <c r="E146" s="28"/>
    </row>
    <row r="147" spans="4:5">
      <c r="D147" s="28"/>
      <c r="E147" s="28"/>
    </row>
    <row r="148" spans="4:5">
      <c r="D148" s="28"/>
      <c r="E148" s="28"/>
    </row>
    <row r="149" spans="4:5">
      <c r="D149" s="28"/>
      <c r="E149" s="28"/>
    </row>
    <row r="150" spans="4:5">
      <c r="D150" s="28"/>
      <c r="E150" s="28"/>
    </row>
    <row r="151" spans="4:5">
      <c r="D151" s="28"/>
      <c r="E151" s="28"/>
    </row>
    <row r="152" spans="4:5">
      <c r="D152" s="28"/>
      <c r="E152" s="28"/>
    </row>
    <row r="153" spans="4:5">
      <c r="D153" s="28"/>
      <c r="E153" s="28"/>
    </row>
    <row r="154" spans="4:5">
      <c r="D154" s="28"/>
      <c r="E154" s="28"/>
    </row>
    <row r="155" spans="4:5">
      <c r="D155" s="28"/>
      <c r="E155" s="28"/>
    </row>
    <row r="156" spans="4:5">
      <c r="D156" s="28"/>
      <c r="E156" s="28"/>
    </row>
    <row r="157" spans="4:5">
      <c r="D157" s="28"/>
      <c r="E157" s="28"/>
    </row>
    <row r="158" spans="4:5">
      <c r="D158" s="28"/>
      <c r="E158" s="28"/>
    </row>
    <row r="159" spans="4:5">
      <c r="D159" s="28"/>
      <c r="E159" s="28"/>
    </row>
    <row r="160" spans="4:5">
      <c r="D160" s="28"/>
      <c r="E160" s="28"/>
    </row>
    <row r="161" spans="4:5">
      <c r="D161" s="28"/>
      <c r="E161" s="28"/>
    </row>
    <row r="162" spans="4:5">
      <c r="D162" s="28"/>
      <c r="E162" s="28"/>
    </row>
    <row r="163" spans="4:5">
      <c r="D163" s="28"/>
      <c r="E163" s="28"/>
    </row>
    <row r="164" spans="4:5">
      <c r="D164" s="28"/>
      <c r="E164" s="28"/>
    </row>
    <row r="165" spans="4:5">
      <c r="D165" s="28"/>
      <c r="E165" s="28"/>
    </row>
    <row r="166" spans="4:5">
      <c r="D166" s="28"/>
      <c r="E166" s="28"/>
    </row>
    <row r="167" spans="4:5">
      <c r="D167" s="28"/>
      <c r="E167" s="28"/>
    </row>
    <row r="168" spans="4:5">
      <c r="D168" s="28"/>
      <c r="E168" s="28"/>
    </row>
    <row r="169" spans="4:5">
      <c r="D169" s="28"/>
      <c r="E169" s="28"/>
    </row>
    <row r="170" spans="4:5">
      <c r="D170" s="28"/>
      <c r="E170" s="28"/>
    </row>
    <row r="171" spans="4:5">
      <c r="D171" s="28"/>
      <c r="E171" s="28"/>
    </row>
    <row r="172" spans="4:5">
      <c r="D172" s="28"/>
      <c r="E172" s="28"/>
    </row>
    <row r="173" spans="4:5">
      <c r="D173" s="28"/>
      <c r="E173" s="28"/>
    </row>
    <row r="174" spans="4:5">
      <c r="D174" s="28"/>
      <c r="E174" s="28"/>
    </row>
    <row r="175" spans="4:5">
      <c r="D175" s="28"/>
      <c r="E175" s="28"/>
    </row>
    <row r="176" spans="4:5">
      <c r="D176" s="28"/>
      <c r="E176" s="28"/>
    </row>
    <row r="177" spans="4:5">
      <c r="D177" s="28"/>
      <c r="E177" s="28"/>
    </row>
    <row r="178" spans="4:5">
      <c r="D178" s="28"/>
      <c r="E178" s="28"/>
    </row>
    <row r="179" spans="4:5">
      <c r="D179" s="28"/>
      <c r="E179" s="28"/>
    </row>
    <row r="180" spans="4:5">
      <c r="D180" s="28"/>
      <c r="E180" s="28"/>
    </row>
    <row r="181" spans="4:5">
      <c r="D181" s="28"/>
      <c r="E181" s="28"/>
    </row>
    <row r="182" spans="4:5">
      <c r="D182" s="28"/>
      <c r="E182" s="28"/>
    </row>
    <row r="183" spans="4:5">
      <c r="D183" s="28"/>
      <c r="E183" s="28"/>
    </row>
    <row r="184" spans="4:5">
      <c r="D184" s="28"/>
      <c r="E184" s="28"/>
    </row>
    <row r="185" spans="4:5">
      <c r="D185" s="28"/>
      <c r="E185" s="28"/>
    </row>
    <row r="186" spans="4:5">
      <c r="D186" s="28"/>
      <c r="E186" s="28"/>
    </row>
    <row r="187" spans="4:5">
      <c r="D187" s="28"/>
      <c r="E187" s="28"/>
    </row>
    <row r="188" spans="4:5">
      <c r="D188" s="28"/>
      <c r="E188" s="28"/>
    </row>
    <row r="189" spans="4:5">
      <c r="D189" s="28"/>
      <c r="E189" s="28"/>
    </row>
    <row r="190" spans="4:5">
      <c r="D190" s="28"/>
      <c r="E190" s="28"/>
    </row>
    <row r="191" spans="4:5">
      <c r="D191" s="28"/>
      <c r="E191" s="28"/>
    </row>
    <row r="192" spans="4:5">
      <c r="D192" s="28"/>
      <c r="E192" s="28"/>
    </row>
    <row r="193" spans="4:5">
      <c r="D193" s="28"/>
      <c r="E193" s="28"/>
    </row>
    <row r="194" spans="4:5">
      <c r="D194" s="28"/>
      <c r="E194" s="28"/>
    </row>
    <row r="195" spans="4:5">
      <c r="D195" s="28"/>
      <c r="E195" s="28"/>
    </row>
    <row r="196" spans="4:5">
      <c r="D196" s="28"/>
      <c r="E196" s="28"/>
    </row>
    <row r="197" spans="4:5">
      <c r="D197" s="28"/>
      <c r="E197" s="28"/>
    </row>
    <row r="198" spans="4:5">
      <c r="D198" s="28"/>
      <c r="E198" s="28"/>
    </row>
    <row r="199" spans="4:5">
      <c r="D199" s="28"/>
      <c r="E199" s="28"/>
    </row>
    <row r="200" spans="4:5">
      <c r="D200" s="28"/>
      <c r="E200" s="2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8"/>
  <sheetViews>
    <sheetView workbookViewId="0"/>
  </sheetViews>
  <sheetFormatPr defaultRowHeight="14.25"/>
  <cols>
    <col min="1" max="1" width="26" customWidth="1"/>
    <col min="2" max="2" width="90" customWidth="1"/>
  </cols>
  <sheetData>
    <row r="1" spans="1:23" ht="18">
      <c r="A1" s="32" t="s">
        <v>196</v>
      </c>
      <c r="B1" s="32"/>
      <c r="C1" s="32"/>
      <c r="D1" s="3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3" spans="1:23" ht="15">
      <c r="A3" s="5" t="s">
        <v>197</v>
      </c>
      <c r="B3" s="2" t="s">
        <v>198</v>
      </c>
    </row>
    <row r="4" spans="1:23" ht="15">
      <c r="A4" s="5" t="s">
        <v>199</v>
      </c>
      <c r="B4" s="2" t="s">
        <v>200</v>
      </c>
    </row>
    <row r="5" spans="1:23" ht="15">
      <c r="A5" s="5" t="s">
        <v>201</v>
      </c>
      <c r="B5" s="2" t="s">
        <v>202</v>
      </c>
    </row>
    <row r="6" spans="1:23" ht="15">
      <c r="A6" s="5" t="s">
        <v>203</v>
      </c>
      <c r="B6" s="2" t="s">
        <v>204</v>
      </c>
    </row>
    <row r="7" spans="1:23" ht="15">
      <c r="A7" s="5" t="s">
        <v>32</v>
      </c>
      <c r="B7" s="2" t="s">
        <v>205</v>
      </c>
    </row>
    <row r="8" spans="1:23" ht="15">
      <c r="A8" s="5" t="s">
        <v>206</v>
      </c>
      <c r="B8" s="2" t="s">
        <v>207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25"/>
  <cols>
    <col min="1" max="1" width="7.25" customWidth="1"/>
    <col min="2" max="2" width="6" customWidth="1"/>
    <col min="3" max="3" width="10.625" customWidth="1"/>
  </cols>
  <sheetData>
    <row r="1" spans="1:3" ht="15">
      <c r="A1" s="9" t="s">
        <v>1</v>
      </c>
      <c r="B1" s="9" t="s">
        <v>4</v>
      </c>
      <c r="C1" s="9" t="s">
        <v>16</v>
      </c>
    </row>
    <row r="2" spans="1:3">
      <c r="A2" t="s">
        <v>22</v>
      </c>
      <c r="B2" t="s">
        <v>22</v>
      </c>
      <c r="C2" t="s">
        <v>27</v>
      </c>
    </row>
    <row r="3" spans="1:3">
      <c r="A3" t="s">
        <v>48</v>
      </c>
      <c r="B3" t="s">
        <v>51</v>
      </c>
      <c r="C3" t="s">
        <v>32</v>
      </c>
    </row>
    <row r="4" spans="1:3">
      <c r="B4" t="s">
        <v>208</v>
      </c>
      <c r="C4" t="s">
        <v>209</v>
      </c>
    </row>
    <row r="5" spans="1:3">
      <c r="B5" t="s">
        <v>210</v>
      </c>
      <c r="C5" t="s">
        <v>108</v>
      </c>
    </row>
    <row r="6" spans="1:3">
      <c r="B6" t="s">
        <v>211</v>
      </c>
      <c r="C6" t="s">
        <v>212</v>
      </c>
    </row>
    <row r="7" spans="1:3">
      <c r="B7" t="s">
        <v>213</v>
      </c>
      <c r="C7" t="s">
        <v>214</v>
      </c>
    </row>
    <row r="8" spans="1:3">
      <c r="B8" t="s">
        <v>215</v>
      </c>
      <c r="C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Zápisník letů</vt:lpstr>
      <vt:lpstr>Souhrny</vt:lpstr>
      <vt:lpstr>Ceník</vt:lpstr>
      <vt:lpstr>Zdroje</vt:lpstr>
      <vt:lpstr>Seznamy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 Točík</cp:lastModifiedBy>
  <dcterms:modified xsi:type="dcterms:W3CDTF">2026-08-17T10:05:55Z</dcterms:modified>
</cp:coreProperties>
</file>